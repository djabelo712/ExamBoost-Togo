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 Mensuel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Break-even" sheetId="5" state="visible" r:id="rId5"/>
    <sheet xmlns:r="http://schemas.openxmlformats.org/officeDocument/2006/relationships"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 ##0"/>
    <numFmt numFmtId="165" formatCode="0.0%"/>
    <numFmt numFmtId="166" formatCode="0.0"/>
    <numFmt numFmtId="167" formatCode="# ##0&quot; FCFA&quot;;[Red]-# ##0&quot; FCFA&quot;"/>
  </numFmts>
  <fonts count="12">
    <font>
      <name val="Calibri"/>
      <family val="2"/>
      <color theme="1"/>
      <sz val="11"/>
      <scheme val="minor"/>
    </font>
    <font>
      <name val="Calibri"/>
      <b val="1"/>
      <color rgb="00006837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  <font>
      <i val="1"/>
      <sz val="10"/>
    </font>
    <font>
      <b val="1"/>
      <color rgb="00006837"/>
    </font>
    <font>
      <b val="1"/>
      <color rgb="00D97700"/>
    </font>
    <font>
      <b val="1"/>
    </font>
    <font>
      <b val="1"/>
      <color rgb="00006837"/>
      <sz val="12"/>
    </font>
    <font>
      <b val="1"/>
      <color rgb="00006837"/>
      <sz val="11"/>
    </font>
  </fonts>
  <fills count="6">
    <fill>
      <patternFill/>
    </fill>
    <fill>
      <patternFill patternType="gray125"/>
    </fill>
    <fill>
      <patternFill patternType="solid">
        <fgColor rgb="00006837"/>
        <bgColor rgb="00006837"/>
      </patternFill>
    </fill>
    <fill>
      <patternFill patternType="solid">
        <fgColor rgb="00F4F4F4"/>
        <bgColor rgb="00F4F4F4"/>
      </patternFill>
    </fill>
    <fill>
      <patternFill patternType="solid">
        <fgColor rgb="00D97700"/>
        <bgColor rgb="00D97700"/>
      </patternFill>
    </fill>
    <fill>
      <patternFill patternType="solid">
        <fgColor rgb="00E8F5ED"/>
        <bgColor rgb="00E8F5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right" vertical="center"/>
    </xf>
    <xf numFmtId="165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5" fillId="5" borderId="1" applyAlignment="1" pivotButton="0" quotePrefix="0" xfId="0">
      <alignment horizontal="right" vertical="center"/>
    </xf>
    <xf numFmtId="0" fontId="8" fillId="0" borderId="0" pivotButton="0" quotePrefix="0" xfId="0"/>
    <xf numFmtId="166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164" fontId="9" fillId="5" borderId="1" applyAlignment="1" pivotButton="0" quotePrefix="0" xfId="0">
      <alignment horizontal="right" vertical="center"/>
    </xf>
    <xf numFmtId="167" fontId="9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right" vertical="center"/>
    </xf>
    <xf numFmtId="167" fontId="0" fillId="5" borderId="1" applyAlignment="1" pivotButton="0" quotePrefix="0" xfId="0">
      <alignment horizontal="right" vertical="center"/>
    </xf>
    <xf numFmtId="167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9" fillId="0" borderId="1" pivotButton="0" quotePrefix="0" xfId="0"/>
    <xf numFmtId="167" fontId="8" fillId="0" borderId="1" pivotButton="0" quotePrefix="0" xfId="0"/>
    <xf numFmtId="1" fontId="8" fillId="0" borderId="1" pivotButton="0" quotePrefix="0" xfId="0"/>
    <xf numFmtId="0" fontId="8" fillId="0" borderId="1" pivotButton="0" quotePrefix="0" xfId="0"/>
    <xf numFmtId="167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Revenus mensuels (FCFA) - scenario realiste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'P&amp;L Mensuel'!$B$5:$S$5</f>
            </numRef>
          </cat>
          <val>
            <numRef>
              <f>'P&amp;L Mensuel'!$B$11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'P&amp;L Mensuel'!$B$5:$S$5</f>
            </numRef>
          </cat>
          <val>
            <numRef>
              <f>'P&amp;L Mensuel'!$C$11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'P&amp;L Mensuel'!$B$5:$S$5</f>
            </numRef>
          </cat>
          <val>
            <numRef>
              <f>'P&amp;L Mensuel'!$D$11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'P&amp;L Mensuel'!$B$5:$S$5</f>
            </numRef>
          </cat>
          <val>
            <numRef>
              <f>'P&amp;L Mensuel'!$E$11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'P&amp;L Mensuel'!$B$5:$S$5</f>
            </numRef>
          </cat>
          <val>
            <numRef>
              <f>'P&amp;L Mensuel'!$F$11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'P&amp;L Mensuel'!$B$5:$S$5</f>
            </numRef>
          </cat>
          <val>
            <numRef>
              <f>'P&amp;L Mensuel'!$G$11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'P&amp;L Mensuel'!$B$5:$S$5</f>
            </numRef>
          </cat>
          <val>
            <numRef>
              <f>'P&amp;L Mensuel'!$H$11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'P&amp;L Mensuel'!$B$5:$S$5</f>
            </numRef>
          </cat>
          <val>
            <numRef>
              <f>'P&amp;L Mensuel'!$I$11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'P&amp;L Mensuel'!$B$5:$S$5</f>
            </numRef>
          </cat>
          <val>
            <numRef>
              <f>'P&amp;L Mensuel'!$J$11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'P&amp;L Mensuel'!$B$5:$S$5</f>
            </numRef>
          </cat>
          <val>
            <numRef>
              <f>'P&amp;L Mensuel'!$K$11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'P&amp;L Mensuel'!$B$5:$S$5</f>
            </numRef>
          </cat>
          <val>
            <numRef>
              <f>'P&amp;L Mensuel'!$L$11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cat>
            <numRef>
              <f>'P&amp;L Mensuel'!$B$5:$S$5</f>
            </numRef>
          </cat>
          <val>
            <numRef>
              <f>'P&amp;L Mensuel'!$M$11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cat>
            <numRef>
              <f>'P&amp;L Mensuel'!$B$5:$S$5</f>
            </numRef>
          </cat>
          <val>
            <numRef>
              <f>'P&amp;L Mensuel'!$N$11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cat>
            <numRef>
              <f>'P&amp;L Mensuel'!$B$5:$S$5</f>
            </numRef>
          </cat>
          <val>
            <numRef>
              <f>'P&amp;L Mensuel'!$O$11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cat>
            <numRef>
              <f>'P&amp;L Mensuel'!$B$5:$S$5</f>
            </numRef>
          </cat>
          <val>
            <numRef>
              <f>'P&amp;L Mensuel'!$P$11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cat>
            <numRef>
              <f>'P&amp;L Mensuel'!$B$5:$S$5</f>
            </numRef>
          </cat>
          <val>
            <numRef>
              <f>'P&amp;L Mensuel'!$Q$11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cat>
            <numRef>
              <f>'P&amp;L Mensuel'!$B$5:$S$5</f>
            </numRef>
          </cat>
          <val>
            <numRef>
              <f>'P&amp;L Mensuel'!$R$11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cat>
            <numRef>
              <f>'P&amp;L Mensuel'!$B$5:$S$5</f>
            </numRef>
          </cat>
          <val>
            <numRef>
              <f>'P&amp;L Mensuel'!$S$11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FCFA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balance cumule (FCFA)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Flow'!$B$5:$S$5</f>
            </numRef>
          </cat>
          <val>
            <numRef>
              <f>'Cash Flow'!$B$12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Flow'!$B$5:$S$5</f>
            </numRef>
          </cat>
          <val>
            <numRef>
              <f>'Cash Flow'!$C$12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Flow'!$B$5:$S$5</f>
            </numRef>
          </cat>
          <val>
            <numRef>
              <f>'Cash Flow'!$D$12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Flow'!$B$5:$S$5</f>
            </numRef>
          </cat>
          <val>
            <numRef>
              <f>'Cash Flow'!$E$12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Flow'!$B$5:$S$5</f>
            </numRef>
          </cat>
          <val>
            <numRef>
              <f>'Cash Flow'!$F$12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Flow'!$B$5:$S$5</f>
            </numRef>
          </cat>
          <val>
            <numRef>
              <f>'Cash Flow'!$G$12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Flow'!$B$5:$S$5</f>
            </numRef>
          </cat>
          <val>
            <numRef>
              <f>'Cash Flow'!$H$12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Flow'!$B$5:$S$5</f>
            </numRef>
          </cat>
          <val>
            <numRef>
              <f>'Cash Flow'!$I$12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Flow'!$B$5:$S$5</f>
            </numRef>
          </cat>
          <val>
            <numRef>
              <f>'Cash Flow'!$J$12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Flow'!$B$5:$S$5</f>
            </numRef>
          </cat>
          <val>
            <numRef>
              <f>'Cash Flow'!$K$12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Flow'!$B$5:$S$5</f>
            </numRef>
          </cat>
          <val>
            <numRef>
              <f>'Cash Flow'!$L$12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Flow'!$B$5:$S$5</f>
            </numRef>
          </cat>
          <val>
            <numRef>
              <f>'Cash Flow'!$M$12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Flow'!$B$5:$S$5</f>
            </numRef>
          </cat>
          <val>
            <numRef>
              <f>'Cash Flow'!$N$12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Flow'!$B$5:$S$5</f>
            </numRef>
          </cat>
          <val>
            <numRef>
              <f>'Cash Flow'!$O$12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Flow'!$B$5:$S$5</f>
            </numRef>
          </cat>
          <val>
            <numRef>
              <f>'Cash Flow'!$P$12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Flow'!$B$5:$S$5</f>
            </numRef>
          </cat>
          <val>
            <numRef>
              <f>'Cash Flow'!$Q$12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Flow'!$B$5:$S$5</f>
            </numRef>
          </cat>
          <val>
            <numRef>
              <f>'Cash Flow'!$R$12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Flow'!$B$5:$S$5</f>
            </numRef>
          </cat>
          <val>
            <numRef>
              <f>'Cash Flow'!$S$12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FCFA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Repartition revenus M18</a:t>
            </a:r>
          </a:p>
        </rich>
      </tx>
    </title>
    <plotArea>
      <pieChart>
        <varyColors val="1"/>
        <ser>
          <idx val="0"/>
          <order val="0"/>
          <tx>
            <strRef>
              <f>'Charts'!B51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'Charts'!$A$52:$A$54</f>
            </numRef>
          </cat>
          <val>
            <numRef>
              <f>'Charts'!$B$52:$B$54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Couts par categorie (FCFA) - scenario realiste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'Charts'!B72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'Charts'!$A$73:$A$90</f>
            </numRef>
          </cat>
          <val>
            <numRef>
              <f>'Charts'!$B$73:$B$90</f>
            </numRef>
          </val>
        </ser>
        <ser>
          <idx val="1"/>
          <order val="1"/>
          <tx>
            <strRef>
              <f>'Charts'!C72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'Charts'!$A$73:$A$90</f>
            </numRef>
          </cat>
          <val>
            <numRef>
              <f>'Charts'!$C$73:$C$90</f>
            </numRef>
          </val>
        </ser>
        <ser>
          <idx val="2"/>
          <order val="2"/>
          <tx>
            <strRef>
              <f>'Charts'!D72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'Charts'!$A$73:$A$90</f>
            </numRef>
          </cat>
          <val>
            <numRef>
              <f>'Charts'!$D$73:$D$90</f>
            </numRef>
          </val>
        </ser>
        <ser>
          <idx val="3"/>
          <order val="3"/>
          <tx>
            <strRef>
              <f>'Charts'!E72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'Charts'!$A$73:$A$90</f>
            </numRef>
          </cat>
          <val>
            <numRef>
              <f>'Charts'!$E$73:$E$90</f>
            </numRef>
          </val>
        </ser>
        <ser>
          <idx val="4"/>
          <order val="4"/>
          <tx>
            <strRef>
              <f>'Charts'!F72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'Charts'!$A$73:$A$90</f>
            </numRef>
          </cat>
          <val>
            <numRef>
              <f>'Charts'!$F$73:$F$90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FCFA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79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50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92</row>
      <rowOff>0</rowOff>
    </from>
    <ext cx="792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6" customWidth="1" min="3" max="3"/>
    <col width="14" customWidth="1" min="4" max="4"/>
  </cols>
  <sheetData>
    <row r="1" ht="24" customHeight="1">
      <c r="A1" s="1" t="inlineStr">
        <is>
          <t>EXAMBOOST TOGO - HYPOTHESES FINANCIERES</t>
        </is>
      </c>
    </row>
    <row r="3">
      <c r="A3" s="2" t="inlineStr">
        <is>
          <t>Source : Plan_GoToMarket.md + ExamBoost_Togo_Etude_Faisabilite_2025.txt</t>
        </is>
      </c>
    </row>
    <row r="5">
      <c r="A5" s="3" t="inlineStr">
        <is>
          <t>Categorie</t>
        </is>
      </c>
      <c r="B5" s="3" t="inlineStr">
        <is>
          <t>Parametre</t>
        </is>
      </c>
      <c r="C5" s="3" t="inlineStr">
        <is>
          <t>Valeur</t>
        </is>
      </c>
      <c r="D5" s="3" t="inlineStr">
        <is>
          <t>Unite</t>
        </is>
      </c>
    </row>
    <row r="6">
      <c r="A6" s="4" t="inlineStr">
        <is>
          <t>Pricing</t>
        </is>
      </c>
      <c r="B6" s="5" t="inlineStr">
        <is>
          <t>Tarif ecole publique</t>
        </is>
      </c>
      <c r="C6" s="6" t="n">
        <v>100000</v>
      </c>
      <c r="D6" s="5" t="inlineStr">
        <is>
          <t>FCFA/an</t>
        </is>
      </c>
    </row>
    <row r="7">
      <c r="A7" s="5" t="inlineStr">
        <is>
          <t>Pricing</t>
        </is>
      </c>
      <c r="B7" s="5" t="inlineStr">
        <is>
          <t>Tarif ecole privee</t>
        </is>
      </c>
      <c r="C7" s="6" t="n">
        <v>150000</v>
      </c>
      <c r="D7" s="5" t="inlineStr">
        <is>
          <t>FCFA/an</t>
        </is>
      </c>
    </row>
    <row r="8">
      <c r="A8" s="4" t="inlineStr">
        <is>
          <t>Pricing</t>
        </is>
      </c>
      <c r="B8" s="5" t="inlineStr">
        <is>
          <t>Tarif ecole premium</t>
        </is>
      </c>
      <c r="C8" s="6" t="n">
        <v>300000</v>
      </c>
      <c r="D8" s="5" t="inlineStr">
        <is>
          <t>FCFA/an</t>
        </is>
      </c>
    </row>
    <row r="9">
      <c r="A9" s="5" t="inlineStr">
        <is>
          <t>Pricing</t>
        </is>
      </c>
      <c r="B9" s="5" t="inlineStr">
        <is>
          <t>Premium eleve</t>
        </is>
      </c>
      <c r="C9" s="6" t="n">
        <v>2000</v>
      </c>
      <c r="D9" s="5" t="inlineStr">
        <is>
          <t>FCFA/mois</t>
        </is>
      </c>
    </row>
    <row r="10">
      <c r="A10" s="4" t="inlineStr">
        <is>
          <t>Mix ecoles</t>
        </is>
      </c>
      <c r="B10" s="5" t="inlineStr">
        <is>
          <t>% ecoles publiques</t>
        </is>
      </c>
      <c r="C10" s="7" t="n">
        <v>0.3</v>
      </c>
      <c r="D10" s="5" t="inlineStr">
        <is>
          <t>%</t>
        </is>
      </c>
    </row>
    <row r="11">
      <c r="A11" s="5" t="inlineStr">
        <is>
          <t>Mix ecoles</t>
        </is>
      </c>
      <c r="B11" s="5" t="inlineStr">
        <is>
          <t>% ecoles privees</t>
        </is>
      </c>
      <c r="C11" s="7" t="n">
        <v>0.6</v>
      </c>
      <c r="D11" s="5" t="inlineStr">
        <is>
          <t>%</t>
        </is>
      </c>
    </row>
    <row r="12">
      <c r="A12" s="4" t="inlineStr">
        <is>
          <t>Mix ecoles</t>
        </is>
      </c>
      <c r="B12" s="5" t="inlineStr">
        <is>
          <t>% ecoles premium</t>
        </is>
      </c>
      <c r="C12" s="7" t="n">
        <v>0.1</v>
      </c>
      <c r="D12" s="5" t="inlineStr">
        <is>
          <t>%</t>
        </is>
      </c>
    </row>
    <row r="13">
      <c r="A13" s="5" t="inlineStr">
        <is>
          <t>Conversion</t>
        </is>
      </c>
      <c r="B13" s="5" t="inlineStr">
        <is>
          <t>Taux gratuit -&gt; premium (cible M18)</t>
        </is>
      </c>
      <c r="C13" s="7" t="n">
        <v>0.05</v>
      </c>
      <c r="D13" s="5" t="inlineStr">
        <is>
          <t>%</t>
        </is>
      </c>
    </row>
    <row r="14">
      <c r="A14" s="4" t="inlineStr">
        <is>
          <t>Acquisition</t>
        </is>
      </c>
      <c r="B14" s="5" t="inlineStr">
        <is>
          <t>CAC eleve</t>
        </is>
      </c>
      <c r="C14" s="6" t="n">
        <v>400</v>
      </c>
      <c r="D14" s="5" t="inlineStr">
        <is>
          <t>FCFA</t>
        </is>
      </c>
    </row>
    <row r="15">
      <c r="A15" s="5" t="inlineStr">
        <is>
          <t>Acquisition</t>
        </is>
      </c>
      <c r="B15" s="5" t="inlineStr">
        <is>
          <t>CAC ecole</t>
        </is>
      </c>
      <c r="C15" s="6" t="n">
        <v>30000</v>
      </c>
      <c r="D15" s="5" t="inlineStr">
        <is>
          <t>FCFA</t>
        </is>
      </c>
    </row>
    <row r="16">
      <c r="A16" s="4" t="inlineStr">
        <is>
          <t>Retention</t>
        </is>
      </c>
      <c r="B16" s="5" t="inlineStr">
        <is>
          <t>Retention eleve 30j (cible M18)</t>
        </is>
      </c>
      <c r="C16" s="7" t="n">
        <v>0.65</v>
      </c>
      <c r="D16" s="5" t="inlineStr">
        <is>
          <t>%</t>
        </is>
      </c>
    </row>
    <row r="17">
      <c r="A17" s="5" t="inlineStr">
        <is>
          <t>Retention</t>
        </is>
      </c>
      <c r="B17" s="5" t="inlineStr">
        <is>
          <t>Retention ecole annuelle</t>
        </is>
      </c>
      <c r="C17" s="7" t="n">
        <v>0.85</v>
      </c>
      <c r="D17" s="5" t="inlineStr">
        <is>
          <t>%</t>
        </is>
      </c>
    </row>
    <row r="18">
      <c r="A18" s="4" t="inlineStr">
        <is>
          <t>LTV</t>
        </is>
      </c>
      <c r="B18" s="5" t="inlineStr">
        <is>
          <t>LTV eleve (12 mois)</t>
        </is>
      </c>
      <c r="C18" s="6" t="n">
        <v>15000</v>
      </c>
      <c r="D18" s="5" t="inlineStr">
        <is>
          <t>FCFA</t>
        </is>
      </c>
    </row>
    <row r="19">
      <c r="A19" s="5" t="inlineStr">
        <is>
          <t>LTV</t>
        </is>
      </c>
      <c r="B19" s="5" t="inlineStr">
        <is>
          <t>LTV ecole (3 ans)</t>
        </is>
      </c>
      <c r="C19" s="6" t="n">
        <v>300000</v>
      </c>
      <c r="D19" s="5" t="inlineStr">
        <is>
          <t>FCFA</t>
        </is>
      </c>
    </row>
    <row r="20">
      <c r="A20" s="4" t="inlineStr">
        <is>
          <t>Ratio</t>
        </is>
      </c>
      <c r="B20" s="5" t="inlineStr">
        <is>
          <t>LTV/CAC eleve premium</t>
        </is>
      </c>
      <c r="C20" s="8" t="n">
        <v>37.5</v>
      </c>
      <c r="D20" s="5" t="inlineStr">
        <is>
          <t>x</t>
        </is>
      </c>
    </row>
    <row r="21">
      <c r="A21" s="5" t="inlineStr">
        <is>
          <t>Ratio</t>
        </is>
      </c>
      <c r="B21" s="5" t="inlineStr">
        <is>
          <t>LTV/CAC ecole</t>
        </is>
      </c>
      <c r="C21" s="8" t="n">
        <v>10</v>
      </c>
      <c r="D21" s="5" t="inlineStr">
        <is>
          <t>x</t>
        </is>
      </c>
    </row>
    <row r="22">
      <c r="A22" s="4" t="inlineStr">
        <is>
          <t>Salaires</t>
        </is>
      </c>
      <c r="B22" s="5" t="inlineStr">
        <is>
          <t>Salaire chef projet GTM</t>
        </is>
      </c>
      <c r="C22" s="6" t="n">
        <v>1500</v>
      </c>
      <c r="D22" s="5" t="inlineStr">
        <is>
          <t>USD/mois</t>
        </is>
      </c>
    </row>
    <row r="23">
      <c r="A23" s="5" t="inlineStr">
        <is>
          <t>Salaires</t>
        </is>
      </c>
      <c r="B23" s="5" t="inlineStr">
        <is>
          <t>Salaire commercial B2B</t>
        </is>
      </c>
      <c r="C23" s="6" t="n">
        <v>1000</v>
      </c>
      <c r="D23" s="5" t="inlineStr">
        <is>
          <t>USD/mois</t>
        </is>
      </c>
    </row>
    <row r="24">
      <c r="A24" s="4" t="inlineStr">
        <is>
          <t>Salaires</t>
        </is>
      </c>
      <c r="B24" s="5" t="inlineStr">
        <is>
          <t>Salaire community manager</t>
        </is>
      </c>
      <c r="C24" s="6" t="n">
        <v>800</v>
      </c>
      <c r="D24" s="5" t="inlineStr">
        <is>
          <t>USD/mois</t>
        </is>
      </c>
    </row>
    <row r="25">
      <c r="A25" s="5" t="inlineStr">
        <is>
          <t>Salaires</t>
        </is>
      </c>
      <c r="B25" s="5" t="inlineStr">
        <is>
          <t>Salaire commercial regional</t>
        </is>
      </c>
      <c r="C25" s="6" t="n">
        <v>800</v>
      </c>
      <c r="D25" s="5" t="inlineStr">
        <is>
          <t>USD/mois</t>
        </is>
      </c>
    </row>
    <row r="26">
      <c r="A26" s="4" t="inlineStr">
        <is>
          <t>Salaires</t>
        </is>
      </c>
      <c r="B26" s="5" t="inlineStr">
        <is>
          <t>Charges sociales</t>
        </is>
      </c>
      <c r="C26" s="7" t="n">
        <v>0.12</v>
      </c>
      <c r="D26" s="5" t="inlineStr">
        <is>
          <t>%</t>
        </is>
      </c>
    </row>
    <row r="27">
      <c r="A27" s="5" t="inlineStr">
        <is>
          <t>Couts fixes</t>
        </is>
      </c>
      <c r="B27" s="5" t="inlineStr">
        <is>
          <t>Infrastructure cloud</t>
        </is>
      </c>
      <c r="C27" s="9" t="n">
        <v>50</v>
      </c>
      <c r="D27" s="5" t="inlineStr">
        <is>
          <t>USD/mois</t>
        </is>
      </c>
    </row>
    <row r="28">
      <c r="A28" s="4" t="inlineStr">
        <is>
          <t>Couts fixes</t>
        </is>
      </c>
      <c r="B28" s="5" t="inlineStr">
        <is>
          <t>API IA (Claude, OpenAI)</t>
        </is>
      </c>
      <c r="C28" s="6" t="n">
        <v>100</v>
      </c>
      <c r="D28" s="5" t="inlineStr">
        <is>
          <t>USD/mois base</t>
        </is>
      </c>
    </row>
    <row r="29">
      <c r="A29" s="5" t="inlineStr">
        <is>
          <t>Couts fixes</t>
        </is>
      </c>
      <c r="B29" s="5" t="inlineStr">
        <is>
          <t>Marketing base (pilote)</t>
        </is>
      </c>
      <c r="C29" s="6" t="n">
        <v>200</v>
      </c>
      <c r="D29" s="5" t="inlineStr">
        <is>
          <t>USD/mois</t>
        </is>
      </c>
    </row>
    <row r="30">
      <c r="A30" s="4" t="inlineStr">
        <is>
          <t>Couts fixes</t>
        </is>
      </c>
      <c r="B30" s="5" t="inlineStr">
        <is>
          <t>Marketing full (lancement+)</t>
        </is>
      </c>
      <c r="C30" s="6" t="n">
        <v>500</v>
      </c>
      <c r="D30" s="5" t="inlineStr">
        <is>
          <t>USD/mois</t>
        </is>
      </c>
    </row>
    <row r="31">
      <c r="A31" s="5" t="inlineStr">
        <is>
          <t>Couts fixes</t>
        </is>
      </c>
      <c r="B31" s="5" t="inlineStr">
        <is>
          <t>Legal / administratif</t>
        </is>
      </c>
      <c r="C31" s="6" t="n">
        <v>100</v>
      </c>
      <c r="D31" s="5" t="inlineStr">
        <is>
          <t>USD/mois</t>
        </is>
      </c>
    </row>
    <row r="32">
      <c r="A32" s="4" t="inlineStr">
        <is>
          <t>Couts variables</t>
        </is>
      </c>
      <c r="B32" s="5" t="inlineStr">
        <is>
          <t>SMS Africa's Talking</t>
        </is>
      </c>
      <c r="C32" s="7" t="n">
        <v>0.02</v>
      </c>
      <c r="D32" s="5" t="inlineStr">
        <is>
          <t>USD/SMS</t>
        </is>
      </c>
    </row>
    <row r="33">
      <c r="A33" s="5" t="inlineStr">
        <is>
          <t>Couts variables</t>
        </is>
      </c>
      <c r="B33" s="5" t="inlineStr">
        <is>
          <t>Frais paiement (Flooz/TMoney)</t>
        </is>
      </c>
      <c r="C33" s="7" t="n">
        <v>0.02</v>
      </c>
      <c r="D33" s="5" t="inlineStr">
        <is>
          <t>%</t>
        </is>
      </c>
    </row>
    <row r="34">
      <c r="A34" s="4" t="inlineStr">
        <is>
          <t>Subventions</t>
        </is>
      </c>
      <c r="B34" s="5" t="inlineStr">
        <is>
          <t>Subvention M6 (GPE/AFD)</t>
        </is>
      </c>
      <c r="C34" s="6" t="n">
        <v>5000000</v>
      </c>
      <c r="D34" s="5" t="inlineStr">
        <is>
          <t>FCFA</t>
        </is>
      </c>
    </row>
    <row r="35">
      <c r="A35" s="5" t="inlineStr">
        <is>
          <t>Subventions</t>
        </is>
      </c>
      <c r="B35" s="5" t="inlineStr">
        <is>
          <t>Subvention M12</t>
        </is>
      </c>
      <c r="C35" s="6" t="n">
        <v>10000000</v>
      </c>
      <c r="D35" s="5" t="inlineStr">
        <is>
          <t>FCFA</t>
        </is>
      </c>
    </row>
    <row r="36">
      <c r="A36" s="4" t="inlineStr">
        <is>
          <t>Subventions</t>
        </is>
      </c>
      <c r="B36" s="5" t="inlineStr">
        <is>
          <t>Subvention M18 (Serie A)</t>
        </is>
      </c>
      <c r="C36" s="6" t="n">
        <v>15000000</v>
      </c>
      <c r="D36" s="5" t="inlineStr">
        <is>
          <t>FCFA</t>
        </is>
      </c>
    </row>
    <row r="37">
      <c r="A37" s="5" t="inlineStr">
        <is>
          <t>Budget global</t>
        </is>
      </c>
      <c r="B37" s="5" t="inlineStr">
        <is>
          <t>Budget GTM 18 mois</t>
        </is>
      </c>
      <c r="C37" s="6" t="n">
        <v>139000</v>
      </c>
      <c r="D37" s="5" t="inlineStr">
        <is>
          <t>USD</t>
        </is>
      </c>
    </row>
    <row r="38">
      <c r="A38" s="4" t="inlineStr">
        <is>
          <t>Budget global</t>
        </is>
      </c>
      <c r="B38" s="5" t="inlineStr">
        <is>
          <t>Budget total projet 18 mois</t>
        </is>
      </c>
      <c r="C38" s="6" t="n">
        <v>246400</v>
      </c>
      <c r="D38" s="5" t="inlineStr">
        <is>
          <t>USD</t>
        </is>
      </c>
    </row>
    <row r="39">
      <c r="A39" s="5" t="inlineStr">
        <is>
          <t>Taux de change</t>
        </is>
      </c>
      <c r="B39" s="5" t="inlineStr">
        <is>
          <t>USD vers FCFA</t>
        </is>
      </c>
      <c r="C39" s="6" t="n">
        <v>600</v>
      </c>
      <c r="D39" s="5" t="inlineStr">
        <is>
          <t>FCFA/USD</t>
        </is>
      </c>
    </row>
    <row r="40">
      <c r="A40" s="4" t="inlineStr">
        <is>
          <t>Taux de change</t>
        </is>
      </c>
      <c r="B40" s="5" t="inlineStr">
        <is>
          <t>Capital initial (FCFA)</t>
        </is>
      </c>
      <c r="C40" s="6" t="n">
        <v>147840000</v>
      </c>
      <c r="D40" s="5" t="inlineStr">
        <is>
          <t>FCFA</t>
        </is>
      </c>
    </row>
    <row r="42">
      <c r="A42" s="2" t="inlineStr">
        <is>
          <t>Note : toutes les valeurs sont modifiables. Les autres onglets utilisent ces constantes.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4" customHeight="1">
      <c r="A1" s="1" t="inlineStr">
        <is>
          <t>EXAMBOOST TOGO - P&amp;L MENSUEL (18 MOIS)</t>
        </is>
      </c>
    </row>
    <row r="3">
      <c r="A3" s="2" t="inlineStr">
        <is>
          <t>Toutes les valeurs en FCFA. Capital initial = 246 400 USD (Etude de Faisabilite).</t>
        </is>
      </c>
    </row>
    <row r="5">
      <c r="A5" s="3" t="inlineStr">
        <is>
          <t>Categorie</t>
        </is>
      </c>
      <c r="B5" s="3" t="inlineStr">
        <is>
          <t>M1</t>
        </is>
      </c>
      <c r="C5" s="3" t="inlineStr">
        <is>
          <t>M2</t>
        </is>
      </c>
      <c r="D5" s="3" t="inlineStr">
        <is>
          <t>M3</t>
        </is>
      </c>
      <c r="E5" s="3" t="inlineStr">
        <is>
          <t>M4</t>
        </is>
      </c>
      <c r="F5" s="3" t="inlineStr">
        <is>
          <t>M5</t>
        </is>
      </c>
      <c r="G5" s="3" t="inlineStr">
        <is>
          <t>M6</t>
        </is>
      </c>
      <c r="H5" s="3" t="inlineStr">
        <is>
          <t>M7</t>
        </is>
      </c>
      <c r="I5" s="3" t="inlineStr">
        <is>
          <t>M8</t>
        </is>
      </c>
      <c r="J5" s="3" t="inlineStr">
        <is>
          <t>M9</t>
        </is>
      </c>
      <c r="K5" s="3" t="inlineStr">
        <is>
          <t>M10</t>
        </is>
      </c>
      <c r="L5" s="3" t="inlineStr">
        <is>
          <t>M11</t>
        </is>
      </c>
      <c r="M5" s="3" t="inlineStr">
        <is>
          <t>M12</t>
        </is>
      </c>
      <c r="N5" s="3" t="inlineStr">
        <is>
          <t>M13</t>
        </is>
      </c>
      <c r="O5" s="3" t="inlineStr">
        <is>
          <t>M14</t>
        </is>
      </c>
      <c r="P5" s="3" t="inlineStr">
        <is>
          <t>M15</t>
        </is>
      </c>
      <c r="Q5" s="3" t="inlineStr">
        <is>
          <t>M16</t>
        </is>
      </c>
      <c r="R5" s="3" t="inlineStr">
        <is>
          <t>M17</t>
        </is>
      </c>
      <c r="S5" s="3" t="inlineStr">
        <is>
          <t>M18</t>
        </is>
      </c>
      <c r="T5" s="3" t="inlineStr">
        <is>
          <t>Total 18M</t>
        </is>
      </c>
    </row>
    <row r="7">
      <c r="A7" s="10" t="inlineStr">
        <is>
          <t>REVENUS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0" t="n"/>
    </row>
    <row r="8">
      <c r="A8" t="inlineStr">
        <is>
          <t xml:space="preserve">  Ecoles (mix 30/60/10)</t>
        </is>
      </c>
      <c r="B8" s="12" t="n">
        <v>12500</v>
      </c>
      <c r="C8" s="12" t="n">
        <v>37500</v>
      </c>
      <c r="D8" s="12" t="n">
        <v>62500</v>
      </c>
      <c r="E8" s="12" t="n">
        <v>100000</v>
      </c>
      <c r="F8" s="12" t="n">
        <v>187500</v>
      </c>
      <c r="G8" s="12" t="n">
        <v>250000</v>
      </c>
      <c r="H8" s="12" t="n">
        <v>375000</v>
      </c>
      <c r="I8" s="12" t="n">
        <v>500000</v>
      </c>
      <c r="J8" s="12" t="n">
        <v>625000</v>
      </c>
      <c r="K8" s="12" t="n">
        <v>875000</v>
      </c>
      <c r="L8" s="12" t="n">
        <v>1125000</v>
      </c>
      <c r="M8" s="12" t="n">
        <v>1250000</v>
      </c>
      <c r="N8" s="12" t="n">
        <v>1625000</v>
      </c>
      <c r="O8" s="12" t="n">
        <v>1875000</v>
      </c>
      <c r="P8" s="12" t="n">
        <v>2125000</v>
      </c>
      <c r="Q8" s="12" t="n">
        <v>2250000</v>
      </c>
      <c r="R8" s="12" t="n">
        <v>2375000</v>
      </c>
      <c r="S8" s="12" t="n">
        <v>2500000</v>
      </c>
      <c r="T8" s="13">
        <f>SUM(B8:S8)</f>
        <v/>
      </c>
    </row>
    <row r="9">
      <c r="A9" t="inlineStr">
        <is>
          <t xml:space="preserve">  Premium eleves</t>
        </is>
      </c>
      <c r="B9" s="12" t="n">
        <v>0</v>
      </c>
      <c r="C9" s="12" t="n">
        <v>0</v>
      </c>
      <c r="D9" s="12" t="n">
        <v>0</v>
      </c>
      <c r="E9" s="12" t="n">
        <v>5000</v>
      </c>
      <c r="F9" s="12" t="n">
        <v>16000</v>
      </c>
      <c r="G9" s="12" t="n">
        <v>40000</v>
      </c>
      <c r="H9" s="12" t="n">
        <v>80000</v>
      </c>
      <c r="I9" s="12" t="n">
        <v>175000</v>
      </c>
      <c r="J9" s="12" t="n">
        <v>300000</v>
      </c>
      <c r="K9" s="12" t="n">
        <v>560000</v>
      </c>
      <c r="L9" s="12" t="n">
        <v>960000</v>
      </c>
      <c r="M9" s="12" t="n">
        <v>1600000</v>
      </c>
      <c r="N9" s="12" t="n">
        <v>2250000</v>
      </c>
      <c r="O9" s="12" t="n">
        <v>2700000</v>
      </c>
      <c r="P9" s="12" t="n">
        <v>3500000</v>
      </c>
      <c r="Q9" s="12" t="n">
        <v>4000000</v>
      </c>
      <c r="R9" s="12" t="n">
        <v>4500000</v>
      </c>
      <c r="S9" s="12" t="n">
        <v>5000000</v>
      </c>
      <c r="T9" s="13">
        <f>SUM(B9:S9)</f>
        <v/>
      </c>
    </row>
    <row r="10">
      <c r="A10" t="inlineStr">
        <is>
          <t xml:space="preserve">  Subventions / grants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5000000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10000000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15000000</v>
      </c>
      <c r="T10" s="13">
        <f>SUM(B10:S10)</f>
        <v/>
      </c>
    </row>
    <row r="11">
      <c r="A11" s="14" t="inlineStr">
        <is>
          <t>TOTAL REVENUS</t>
        </is>
      </c>
      <c r="B11" s="15">
        <f>B8+B9+B10</f>
        <v/>
      </c>
      <c r="C11" s="15">
        <f>C8+C9+C10</f>
        <v/>
      </c>
      <c r="D11" s="15">
        <f>D8+D9+D10</f>
        <v/>
      </c>
      <c r="E11" s="15">
        <f>E8+E9+E10</f>
        <v/>
      </c>
      <c r="F11" s="15">
        <f>F8+F9+F10</f>
        <v/>
      </c>
      <c r="G11" s="15">
        <f>G8+G9+G10</f>
        <v/>
      </c>
      <c r="H11" s="15">
        <f>H8+H9+H10</f>
        <v/>
      </c>
      <c r="I11" s="15">
        <f>I8+I9+I10</f>
        <v/>
      </c>
      <c r="J11" s="15">
        <f>J8+J9+J10</f>
        <v/>
      </c>
      <c r="K11" s="15">
        <f>K8+K9+K10</f>
        <v/>
      </c>
      <c r="L11" s="15">
        <f>L8+L9+L10</f>
        <v/>
      </c>
      <c r="M11" s="15">
        <f>M8+M9+M10</f>
        <v/>
      </c>
      <c r="N11" s="15">
        <f>N8+N9+N10</f>
        <v/>
      </c>
      <c r="O11" s="15">
        <f>O8+O9+O10</f>
        <v/>
      </c>
      <c r="P11" s="15">
        <f>P8+P9+P10</f>
        <v/>
      </c>
      <c r="Q11" s="15">
        <f>Q8+Q9+Q10</f>
        <v/>
      </c>
      <c r="R11" s="15">
        <f>R8+R9+R10</f>
        <v/>
      </c>
      <c r="S11" s="15">
        <f>S8+S9+S10</f>
        <v/>
      </c>
      <c r="T11" s="14">
        <f>SUM(B11:S11)</f>
        <v/>
      </c>
    </row>
    <row r="12"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13" t="n"/>
    </row>
    <row r="13">
      <c r="A13" s="10" t="inlineStr">
        <is>
          <t>COUTS VARIABLES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0" t="n"/>
    </row>
    <row r="14">
      <c r="A14" t="inlineStr">
        <is>
          <t xml:space="preserve">  SMS Africa's Talking</t>
        </is>
      </c>
      <c r="B14" s="12" t="n">
        <v>300</v>
      </c>
      <c r="C14" s="12" t="n">
        <v>600</v>
      </c>
      <c r="D14" s="12" t="n">
        <v>1800</v>
      </c>
      <c r="E14" s="12" t="n">
        <v>3000</v>
      </c>
      <c r="F14" s="12" t="n">
        <v>4800</v>
      </c>
      <c r="G14" s="12" t="n">
        <v>6000</v>
      </c>
      <c r="H14" s="12" t="n">
        <v>12000</v>
      </c>
      <c r="I14" s="12" t="n">
        <v>21000</v>
      </c>
      <c r="J14" s="12" t="n">
        <v>30000</v>
      </c>
      <c r="K14" s="12" t="n">
        <v>48000</v>
      </c>
      <c r="L14" s="12" t="n">
        <v>72000</v>
      </c>
      <c r="M14" s="12" t="n">
        <v>120000</v>
      </c>
      <c r="N14" s="12" t="n">
        <v>150000</v>
      </c>
      <c r="O14" s="12" t="n">
        <v>180000</v>
      </c>
      <c r="P14" s="12" t="n">
        <v>210000</v>
      </c>
      <c r="Q14" s="12" t="n">
        <v>240000</v>
      </c>
      <c r="R14" s="12" t="n">
        <v>270000</v>
      </c>
      <c r="S14" s="12" t="n">
        <v>300000</v>
      </c>
      <c r="T14" s="13">
        <f>SUM(B14:S14)</f>
        <v/>
      </c>
    </row>
    <row r="15">
      <c r="A15" t="inlineStr">
        <is>
          <t xml:space="preserve">  API IA (Claude / OpenAI)</t>
        </is>
      </c>
      <c r="B15" s="12" t="n">
        <v>21000</v>
      </c>
      <c r="C15" s="12" t="n">
        <v>24000</v>
      </c>
      <c r="D15" s="12" t="n">
        <v>27000</v>
      </c>
      <c r="E15" s="12" t="n">
        <v>30000</v>
      </c>
      <c r="F15" s="12" t="n">
        <v>33000</v>
      </c>
      <c r="G15" s="12" t="n">
        <v>36000</v>
      </c>
      <c r="H15" s="12" t="n">
        <v>39000</v>
      </c>
      <c r="I15" s="12" t="n">
        <v>42000</v>
      </c>
      <c r="J15" s="12" t="n">
        <v>45000</v>
      </c>
      <c r="K15" s="12" t="n">
        <v>48000</v>
      </c>
      <c r="L15" s="12" t="n">
        <v>51000</v>
      </c>
      <c r="M15" s="12" t="n">
        <v>54000</v>
      </c>
      <c r="N15" s="12" t="n">
        <v>57000</v>
      </c>
      <c r="O15" s="12" t="n">
        <v>60000</v>
      </c>
      <c r="P15" s="12" t="n">
        <v>63000</v>
      </c>
      <c r="Q15" s="12" t="n">
        <v>66000</v>
      </c>
      <c r="R15" s="12" t="n">
        <v>69000</v>
      </c>
      <c r="S15" s="12" t="n">
        <v>72000</v>
      </c>
      <c r="T15" s="13">
        <f>SUM(B15:S15)</f>
        <v/>
      </c>
    </row>
    <row r="16">
      <c r="A16" t="inlineStr">
        <is>
          <t xml:space="preserve">  Frais paiement (Flooz / TMoney)</t>
        </is>
      </c>
      <c r="B16" s="12" t="n">
        <v>250</v>
      </c>
      <c r="C16" s="12" t="n">
        <v>750</v>
      </c>
      <c r="D16" s="12" t="n">
        <v>1250</v>
      </c>
      <c r="E16" s="12" t="n">
        <v>2100</v>
      </c>
      <c r="F16" s="12" t="n">
        <v>4070</v>
      </c>
      <c r="G16" s="12" t="n">
        <v>5800</v>
      </c>
      <c r="H16" s="12" t="n">
        <v>9100</v>
      </c>
      <c r="I16" s="12" t="n">
        <v>13500</v>
      </c>
      <c r="J16" s="12" t="n">
        <v>18500</v>
      </c>
      <c r="K16" s="12" t="n">
        <v>28700</v>
      </c>
      <c r="L16" s="12" t="n">
        <v>41700</v>
      </c>
      <c r="M16" s="12" t="n">
        <v>57000</v>
      </c>
      <c r="N16" s="12" t="n">
        <v>77500</v>
      </c>
      <c r="O16" s="12" t="n">
        <v>91500</v>
      </c>
      <c r="P16" s="12" t="n">
        <v>112500</v>
      </c>
      <c r="Q16" s="12" t="n">
        <v>125000</v>
      </c>
      <c r="R16" s="12" t="n">
        <v>137500</v>
      </c>
      <c r="S16" s="12" t="n">
        <v>150000</v>
      </c>
      <c r="T16" s="13">
        <f>SUM(B16:S16)</f>
        <v/>
      </c>
    </row>
    <row r="17">
      <c r="A17" s="14" t="inlineStr">
        <is>
          <t>TOTAL COUTS VARIABLES</t>
        </is>
      </c>
      <c r="B17" s="15">
        <f>B14+B15+B16</f>
        <v/>
      </c>
      <c r="C17" s="15">
        <f>C14+C15+C16</f>
        <v/>
      </c>
      <c r="D17" s="15">
        <f>D14+D15+D16</f>
        <v/>
      </c>
      <c r="E17" s="15">
        <f>E14+E15+E16</f>
        <v/>
      </c>
      <c r="F17" s="15">
        <f>F14+F15+F16</f>
        <v/>
      </c>
      <c r="G17" s="15">
        <f>G14+G15+G16</f>
        <v/>
      </c>
      <c r="H17" s="15">
        <f>H14+H15+H16</f>
        <v/>
      </c>
      <c r="I17" s="15">
        <f>I14+I15+I16</f>
        <v/>
      </c>
      <c r="J17" s="15">
        <f>J14+J15+J16</f>
        <v/>
      </c>
      <c r="K17" s="15">
        <f>K14+K15+K16</f>
        <v/>
      </c>
      <c r="L17" s="15">
        <f>L14+L15+L16</f>
        <v/>
      </c>
      <c r="M17" s="15">
        <f>M14+M15+M16</f>
        <v/>
      </c>
      <c r="N17" s="15">
        <f>N14+N15+N16</f>
        <v/>
      </c>
      <c r="O17" s="15">
        <f>O14+O15+O16</f>
        <v/>
      </c>
      <c r="P17" s="15">
        <f>P14+P15+P16</f>
        <v/>
      </c>
      <c r="Q17" s="15">
        <f>Q14+Q15+Q16</f>
        <v/>
      </c>
      <c r="R17" s="15">
        <f>R14+R15+R16</f>
        <v/>
      </c>
      <c r="S17" s="15">
        <f>S14+S15+S16</f>
        <v/>
      </c>
      <c r="T17" s="14">
        <f>SUM(B17:S17)</f>
        <v/>
      </c>
    </row>
    <row r="18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13" t="n"/>
    </row>
    <row r="19">
      <c r="A19" s="10" t="inlineStr">
        <is>
          <t>COUTS FIXES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0" t="n"/>
    </row>
    <row r="20">
      <c r="A20" t="inlineStr">
        <is>
          <t xml:space="preserve">  Salaires (4-5 ETP + charges)</t>
        </is>
      </c>
      <c r="B20" s="12" t="n">
        <v>1008000</v>
      </c>
      <c r="C20" s="12" t="n">
        <v>1545600</v>
      </c>
      <c r="D20" s="12" t="n">
        <v>1545600</v>
      </c>
      <c r="E20" s="12" t="n">
        <v>2217600</v>
      </c>
      <c r="F20" s="12" t="n">
        <v>2217600</v>
      </c>
      <c r="G20" s="12" t="n">
        <v>2217600</v>
      </c>
      <c r="H20" s="12" t="n">
        <v>2217600</v>
      </c>
      <c r="I20" s="12" t="n">
        <v>2217600</v>
      </c>
      <c r="J20" s="12" t="n">
        <v>3292800</v>
      </c>
      <c r="K20" s="12" t="n">
        <v>3292800</v>
      </c>
      <c r="L20" s="12" t="n">
        <v>3292800</v>
      </c>
      <c r="M20" s="12" t="n">
        <v>3292800</v>
      </c>
      <c r="N20" s="12" t="n">
        <v>3292800</v>
      </c>
      <c r="O20" s="12" t="n">
        <v>3292800</v>
      </c>
      <c r="P20" s="12" t="n">
        <v>3292800</v>
      </c>
      <c r="Q20" s="12" t="n">
        <v>3292800</v>
      </c>
      <c r="R20" s="12" t="n">
        <v>3292800</v>
      </c>
      <c r="S20" s="12" t="n">
        <v>3292800</v>
      </c>
      <c r="T20" s="13">
        <f>SUM(B20:S20)</f>
        <v/>
      </c>
    </row>
    <row r="21">
      <c r="A21" t="inlineStr">
        <is>
          <t xml:space="preserve">  Infrastructure cloud</t>
        </is>
      </c>
      <c r="B21" s="12" t="n">
        <v>30000</v>
      </c>
      <c r="C21" s="12" t="n">
        <v>30000</v>
      </c>
      <c r="D21" s="12" t="n">
        <v>30000</v>
      </c>
      <c r="E21" s="12" t="n">
        <v>30000</v>
      </c>
      <c r="F21" s="12" t="n">
        <v>30000</v>
      </c>
      <c r="G21" s="12" t="n">
        <v>30000</v>
      </c>
      <c r="H21" s="12" t="n">
        <v>30000</v>
      </c>
      <c r="I21" s="12" t="n">
        <v>30000</v>
      </c>
      <c r="J21" s="12" t="n">
        <v>30000</v>
      </c>
      <c r="K21" s="12" t="n">
        <v>30000</v>
      </c>
      <c r="L21" s="12" t="n">
        <v>30000</v>
      </c>
      <c r="M21" s="12" t="n">
        <v>30000</v>
      </c>
      <c r="N21" s="12" t="n">
        <v>30000</v>
      </c>
      <c r="O21" s="12" t="n">
        <v>30000</v>
      </c>
      <c r="P21" s="12" t="n">
        <v>30000</v>
      </c>
      <c r="Q21" s="12" t="n">
        <v>30000</v>
      </c>
      <c r="R21" s="12" t="n">
        <v>30000</v>
      </c>
      <c r="S21" s="12" t="n">
        <v>30000</v>
      </c>
      <c r="T21" s="13">
        <f>SUM(B21:S21)</f>
        <v/>
      </c>
    </row>
    <row r="22">
      <c r="A22" t="inlineStr">
        <is>
          <t xml:space="preserve">  Marketing</t>
        </is>
      </c>
      <c r="B22" s="12" t="n">
        <v>120000</v>
      </c>
      <c r="C22" s="12" t="n">
        <v>120000</v>
      </c>
      <c r="D22" s="12" t="n">
        <v>120000</v>
      </c>
      <c r="E22" s="12" t="n">
        <v>300000</v>
      </c>
      <c r="F22" s="12" t="n">
        <v>300000</v>
      </c>
      <c r="G22" s="12" t="n">
        <v>300000</v>
      </c>
      <c r="H22" s="12" t="n">
        <v>300000</v>
      </c>
      <c r="I22" s="12" t="n">
        <v>300000</v>
      </c>
      <c r="J22" s="12" t="n">
        <v>300000</v>
      </c>
      <c r="K22" s="12" t="n">
        <v>300000</v>
      </c>
      <c r="L22" s="12" t="n">
        <v>300000</v>
      </c>
      <c r="M22" s="12" t="n">
        <v>300000</v>
      </c>
      <c r="N22" s="12" t="n">
        <v>300000</v>
      </c>
      <c r="O22" s="12" t="n">
        <v>300000</v>
      </c>
      <c r="P22" s="12" t="n">
        <v>300000</v>
      </c>
      <c r="Q22" s="12" t="n">
        <v>300000</v>
      </c>
      <c r="R22" s="12" t="n">
        <v>300000</v>
      </c>
      <c r="S22" s="12" t="n">
        <v>300000</v>
      </c>
      <c r="T22" s="13">
        <f>SUM(B22:S22)</f>
        <v/>
      </c>
    </row>
    <row r="23">
      <c r="A23" t="inlineStr">
        <is>
          <t xml:space="preserve">  Legal / administratif</t>
        </is>
      </c>
      <c r="B23" s="12" t="n">
        <v>60000</v>
      </c>
      <c r="C23" s="12" t="n">
        <v>60000</v>
      </c>
      <c r="D23" s="12" t="n">
        <v>60000</v>
      </c>
      <c r="E23" s="12" t="n">
        <v>60000</v>
      </c>
      <c r="F23" s="12" t="n">
        <v>60000</v>
      </c>
      <c r="G23" s="12" t="n">
        <v>60000</v>
      </c>
      <c r="H23" s="12" t="n">
        <v>60000</v>
      </c>
      <c r="I23" s="12" t="n">
        <v>60000</v>
      </c>
      <c r="J23" s="12" t="n">
        <v>60000</v>
      </c>
      <c r="K23" s="12" t="n">
        <v>60000</v>
      </c>
      <c r="L23" s="12" t="n">
        <v>60000</v>
      </c>
      <c r="M23" s="12" t="n">
        <v>60000</v>
      </c>
      <c r="N23" s="12" t="n">
        <v>60000</v>
      </c>
      <c r="O23" s="12" t="n">
        <v>60000</v>
      </c>
      <c r="P23" s="12" t="n">
        <v>60000</v>
      </c>
      <c r="Q23" s="12" t="n">
        <v>60000</v>
      </c>
      <c r="R23" s="12" t="n">
        <v>60000</v>
      </c>
      <c r="S23" s="12" t="n">
        <v>60000</v>
      </c>
      <c r="T23" s="13">
        <f>SUM(B23:S23)</f>
        <v/>
      </c>
    </row>
    <row r="24">
      <c r="A24" s="14" t="inlineStr">
        <is>
          <t>TOTAL COUTS FIXES</t>
        </is>
      </c>
      <c r="B24" s="15">
        <f>B20+B21+B22+B23</f>
        <v/>
      </c>
      <c r="C24" s="15">
        <f>C20+C21+C22+C23</f>
        <v/>
      </c>
      <c r="D24" s="15">
        <f>D20+D21+D22+D23</f>
        <v/>
      </c>
      <c r="E24" s="15">
        <f>E20+E21+E22+E23</f>
        <v/>
      </c>
      <c r="F24" s="15">
        <f>F20+F21+F22+F23</f>
        <v/>
      </c>
      <c r="G24" s="15">
        <f>G20+G21+G22+G23</f>
        <v/>
      </c>
      <c r="H24" s="15">
        <f>H20+H21+H22+H23</f>
        <v/>
      </c>
      <c r="I24" s="15">
        <f>I20+I21+I22+I23</f>
        <v/>
      </c>
      <c r="J24" s="15">
        <f>J20+J21+J22+J23</f>
        <v/>
      </c>
      <c r="K24" s="15">
        <f>K20+K21+K22+K23</f>
        <v/>
      </c>
      <c r="L24" s="15">
        <f>L20+L21+L22+L23</f>
        <v/>
      </c>
      <c r="M24" s="15">
        <f>M20+M21+M22+M23</f>
        <v/>
      </c>
      <c r="N24" s="15">
        <f>N20+N21+N22+N23</f>
        <v/>
      </c>
      <c r="O24" s="15">
        <f>O20+O21+O22+O23</f>
        <v/>
      </c>
      <c r="P24" s="15">
        <f>P20+P21+P22+P23</f>
        <v/>
      </c>
      <c r="Q24" s="15">
        <f>Q20+Q21+Q22+Q23</f>
        <v/>
      </c>
      <c r="R24" s="15">
        <f>R20+R21+R22+R23</f>
        <v/>
      </c>
      <c r="S24" s="15">
        <f>S20+S21+S22+S23</f>
        <v/>
      </c>
      <c r="T24" s="14">
        <f>SUM(B24:S24)</f>
        <v/>
      </c>
    </row>
    <row r="25"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13" t="n"/>
    </row>
    <row r="26">
      <c r="A26" s="14" t="inlineStr">
        <is>
          <t>RESULTAT NET (MARGE)</t>
        </is>
      </c>
      <c r="B26" s="15">
        <f>B11-B17-B24</f>
        <v/>
      </c>
      <c r="C26" s="15">
        <f>C11-C17-C24</f>
        <v/>
      </c>
      <c r="D26" s="15">
        <f>D11-D17-D24</f>
        <v/>
      </c>
      <c r="E26" s="15">
        <f>E11-E17-E24</f>
        <v/>
      </c>
      <c r="F26" s="15">
        <f>F11-F17-F24</f>
        <v/>
      </c>
      <c r="G26" s="15">
        <f>G11-G17-G24</f>
        <v/>
      </c>
      <c r="H26" s="15">
        <f>H11-H17-H24</f>
        <v/>
      </c>
      <c r="I26" s="15">
        <f>I11-I17-I24</f>
        <v/>
      </c>
      <c r="J26" s="15">
        <f>J11-J17-J24</f>
        <v/>
      </c>
      <c r="K26" s="15">
        <f>K11-K17-K24</f>
        <v/>
      </c>
      <c r="L26" s="15">
        <f>L11-L17-L24</f>
        <v/>
      </c>
      <c r="M26" s="15">
        <f>M11-M17-M24</f>
        <v/>
      </c>
      <c r="N26" s="15">
        <f>N11-N17-N24</f>
        <v/>
      </c>
      <c r="O26" s="15">
        <f>O11-O17-O24</f>
        <v/>
      </c>
      <c r="P26" s="15">
        <f>P11-P17-P24</f>
        <v/>
      </c>
      <c r="Q26" s="15">
        <f>Q11-Q17-Q24</f>
        <v/>
      </c>
      <c r="R26" s="15">
        <f>R11-R17-R24</f>
        <v/>
      </c>
      <c r="S26" s="15">
        <f>S11-S17-S24</f>
        <v/>
      </c>
      <c r="T26" s="14">
        <f>SUM(B26:S26)</f>
        <v/>
      </c>
    </row>
    <row r="27">
      <c r="A27" t="inlineStr">
        <is>
          <t>Marge nette %</t>
        </is>
      </c>
      <c r="B27" s="16">
        <f>IF(B11=0,0,B26/B11)</f>
        <v/>
      </c>
      <c r="C27" s="16">
        <f>IF(C11=0,0,C26/C11)</f>
        <v/>
      </c>
      <c r="D27" s="16">
        <f>IF(D11=0,0,D26/D11)</f>
        <v/>
      </c>
      <c r="E27" s="16">
        <f>IF(E11=0,0,E26/E11)</f>
        <v/>
      </c>
      <c r="F27" s="16">
        <f>IF(F11=0,0,F26/F11)</f>
        <v/>
      </c>
      <c r="G27" s="16">
        <f>IF(G11=0,0,G26/G11)</f>
        <v/>
      </c>
      <c r="H27" s="16">
        <f>IF(H11=0,0,H26/H11)</f>
        <v/>
      </c>
      <c r="I27" s="16">
        <f>IF(I11=0,0,I26/I11)</f>
        <v/>
      </c>
      <c r="J27" s="16">
        <f>IF(J11=0,0,J26/J11)</f>
        <v/>
      </c>
      <c r="K27" s="16">
        <f>IF(K11=0,0,K26/K11)</f>
        <v/>
      </c>
      <c r="L27" s="16">
        <f>IF(L11=0,0,L26/L11)</f>
        <v/>
      </c>
      <c r="M27" s="16">
        <f>IF(M11=0,0,M26/M11)</f>
        <v/>
      </c>
      <c r="N27" s="16">
        <f>IF(N11=0,0,N26/N11)</f>
        <v/>
      </c>
      <c r="O27" s="16">
        <f>IF(O11=0,0,O26/O11)</f>
        <v/>
      </c>
      <c r="P27" s="16">
        <f>IF(P11=0,0,P26/P11)</f>
        <v/>
      </c>
      <c r="Q27" s="16">
        <f>IF(Q11=0,0,Q26/Q11)</f>
        <v/>
      </c>
      <c r="R27" s="16">
        <f>IF(R11=0,0,R26/R11)</f>
        <v/>
      </c>
      <c r="S27" s="16">
        <f>IF(S11=0,0,S26/S11)</f>
        <v/>
      </c>
      <c r="T27" s="16">
        <f>IF(T11=0,0,T26/T11)</f>
        <v/>
      </c>
    </row>
    <row r="29">
      <c r="A29" s="17" t="inlineStr">
        <is>
          <t>KPIs OPERATIONNELS (pour memoire)</t>
        </is>
      </c>
    </row>
    <row r="30">
      <c r="A30" t="inlineStr">
        <is>
          <t xml:space="preserve">  Eleves actifs/mois</t>
        </is>
      </c>
      <c r="B30" s="18" t="n">
        <v>50</v>
      </c>
      <c r="C30" s="18" t="n">
        <v>100</v>
      </c>
      <c r="D30" s="18" t="n">
        <v>300</v>
      </c>
      <c r="E30" s="18" t="n">
        <v>500</v>
      </c>
      <c r="F30" s="18" t="n">
        <v>800</v>
      </c>
      <c r="G30" s="18" t="n">
        <v>1000</v>
      </c>
      <c r="H30" s="18" t="n">
        <v>2000</v>
      </c>
      <c r="I30" s="18" t="n">
        <v>3500</v>
      </c>
      <c r="J30" s="18" t="n">
        <v>5000</v>
      </c>
      <c r="K30" s="18" t="n">
        <v>8000</v>
      </c>
      <c r="L30" s="18" t="n">
        <v>12000</v>
      </c>
      <c r="M30" s="18" t="n">
        <v>20000</v>
      </c>
      <c r="N30" s="18" t="n">
        <v>25000</v>
      </c>
      <c r="O30" s="18" t="n">
        <v>30000</v>
      </c>
      <c r="P30" s="18" t="n">
        <v>35000</v>
      </c>
      <c r="Q30" s="18" t="n">
        <v>40000</v>
      </c>
      <c r="R30" s="18" t="n">
        <v>45000</v>
      </c>
      <c r="S30" s="18" t="n">
        <v>50000</v>
      </c>
    </row>
    <row r="31">
      <c r="A31" t="inlineStr">
        <is>
          <t xml:space="preserve">  Etablissements partenaires</t>
        </is>
      </c>
      <c r="B31" s="18" t="n">
        <v>1</v>
      </c>
      <c r="C31" s="18" t="n">
        <v>3</v>
      </c>
      <c r="D31" s="18" t="n">
        <v>5</v>
      </c>
      <c r="E31" s="18" t="n">
        <v>8</v>
      </c>
      <c r="F31" s="18" t="n">
        <v>15</v>
      </c>
      <c r="G31" s="18" t="n">
        <v>20</v>
      </c>
      <c r="H31" s="18" t="n">
        <v>30</v>
      </c>
      <c r="I31" s="18" t="n">
        <v>40</v>
      </c>
      <c r="J31" s="18" t="n">
        <v>50</v>
      </c>
      <c r="K31" s="18" t="n">
        <v>70</v>
      </c>
      <c r="L31" s="18" t="n">
        <v>90</v>
      </c>
      <c r="M31" s="18" t="n">
        <v>100</v>
      </c>
      <c r="N31" s="18" t="n">
        <v>130</v>
      </c>
      <c r="O31" s="18" t="n">
        <v>150</v>
      </c>
      <c r="P31" s="18" t="n">
        <v>170</v>
      </c>
      <c r="Q31" s="18" t="n">
        <v>180</v>
      </c>
      <c r="R31" s="18" t="n">
        <v>190</v>
      </c>
      <c r="S31" s="18" t="n">
        <v>200</v>
      </c>
    </row>
    <row r="32">
      <c r="A32" t="inlineStr">
        <is>
          <t xml:space="preserve">  Taux conversion premium</t>
        </is>
      </c>
      <c r="B32" s="19" t="n">
        <v>0</v>
      </c>
      <c r="C32" s="19" t="n">
        <v>0</v>
      </c>
      <c r="D32" s="19" t="n">
        <v>0</v>
      </c>
      <c r="E32" s="19" t="n">
        <v>0.005</v>
      </c>
      <c r="F32" s="19" t="n">
        <v>0.01</v>
      </c>
      <c r="G32" s="19" t="n">
        <v>0.02</v>
      </c>
      <c r="H32" s="19" t="n">
        <v>0.02</v>
      </c>
      <c r="I32" s="19" t="n">
        <v>0.025</v>
      </c>
      <c r="J32" s="19" t="n">
        <v>0.03</v>
      </c>
      <c r="K32" s="19" t="n">
        <v>0.035</v>
      </c>
      <c r="L32" s="19" t="n">
        <v>0.04</v>
      </c>
      <c r="M32" s="19" t="n">
        <v>0.04</v>
      </c>
      <c r="N32" s="19" t="n">
        <v>0.045</v>
      </c>
      <c r="O32" s="19" t="n">
        <v>0.045</v>
      </c>
      <c r="P32" s="19" t="n">
        <v>0.05</v>
      </c>
      <c r="Q32" s="19" t="n">
        <v>0.05</v>
      </c>
      <c r="R32" s="19" t="n">
        <v>0.05</v>
      </c>
      <c r="S32" s="19" t="n">
        <v>0.05</v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4" customHeight="1">
      <c r="A1" s="1" t="inlineStr">
        <is>
          <t>EXAMBOOST TOGO - CASH FLOW (18 MOIS)</t>
        </is>
      </c>
    </row>
    <row r="3">
      <c r="A3" s="2" t="inlineStr">
        <is>
          <t>Capital initial : 246 400 USD (~148 M FCFA). Inclut budget technique + budget GTM 139k USD.</t>
        </is>
      </c>
    </row>
    <row r="5">
      <c r="A5" s="3" t="inlineStr">
        <is>
          <t>Categorie</t>
        </is>
      </c>
      <c r="B5" s="3" t="inlineStr">
        <is>
          <t>M1</t>
        </is>
      </c>
      <c r="C5" s="3" t="inlineStr">
        <is>
          <t>M2</t>
        </is>
      </c>
      <c r="D5" s="3" t="inlineStr">
        <is>
          <t>M3</t>
        </is>
      </c>
      <c r="E5" s="3" t="inlineStr">
        <is>
          <t>M4</t>
        </is>
      </c>
      <c r="F5" s="3" t="inlineStr">
        <is>
          <t>M5</t>
        </is>
      </c>
      <c r="G5" s="3" t="inlineStr">
        <is>
          <t>M6</t>
        </is>
      </c>
      <c r="H5" s="3" t="inlineStr">
        <is>
          <t>M7</t>
        </is>
      </c>
      <c r="I5" s="3" t="inlineStr">
        <is>
          <t>M8</t>
        </is>
      </c>
      <c r="J5" s="3" t="inlineStr">
        <is>
          <t>M9</t>
        </is>
      </c>
      <c r="K5" s="3" t="inlineStr">
        <is>
          <t>M10</t>
        </is>
      </c>
      <c r="L5" s="3" t="inlineStr">
        <is>
          <t>M11</t>
        </is>
      </c>
      <c r="M5" s="3" t="inlineStr">
        <is>
          <t>M12</t>
        </is>
      </c>
      <c r="N5" s="3" t="inlineStr">
        <is>
          <t>M13</t>
        </is>
      </c>
      <c r="O5" s="3" t="inlineStr">
        <is>
          <t>M14</t>
        </is>
      </c>
      <c r="P5" s="3" t="inlineStr">
        <is>
          <t>M15</t>
        </is>
      </c>
      <c r="Q5" s="3" t="inlineStr">
        <is>
          <t>M16</t>
        </is>
      </c>
      <c r="R5" s="3" t="inlineStr">
        <is>
          <t>M17</t>
        </is>
      </c>
      <c r="S5" s="3" t="inlineStr">
        <is>
          <t>M18</t>
        </is>
      </c>
      <c r="T5" s="3" t="inlineStr">
        <is>
          <t>Total 18M</t>
        </is>
      </c>
    </row>
    <row r="7">
      <c r="A7" t="inlineStr">
        <is>
          <t>Solde ouverture</t>
        </is>
      </c>
      <c r="B7" s="12" t="n">
        <v>147840000</v>
      </c>
      <c r="C7" s="12" t="n">
        <v>146612950</v>
      </c>
      <c r="D7" s="12" t="n">
        <v>144869500</v>
      </c>
      <c r="E7" s="12" t="n">
        <v>143146350</v>
      </c>
      <c r="F7" s="12" t="n">
        <v>140608650</v>
      </c>
      <c r="G7" s="12" t="n">
        <v>138162680</v>
      </c>
      <c r="H7" s="12" t="n">
        <v>140797280</v>
      </c>
      <c r="I7" s="12" t="n">
        <v>138584580</v>
      </c>
      <c r="J7" s="12" t="n">
        <v>136575480</v>
      </c>
      <c r="K7" s="12" t="n">
        <v>133724180</v>
      </c>
      <c r="L7" s="12" t="n">
        <v>131351680</v>
      </c>
      <c r="M7" s="12" t="n">
        <v>129589180</v>
      </c>
      <c r="N7" s="12" t="n">
        <v>138525380</v>
      </c>
      <c r="O7" s="12" t="n">
        <v>138433080</v>
      </c>
      <c r="P7" s="12" t="n">
        <v>138993780</v>
      </c>
      <c r="Q7" s="12" t="n">
        <v>140550480</v>
      </c>
      <c r="R7" s="12" t="n">
        <v>142686680</v>
      </c>
      <c r="S7" s="12" t="n">
        <v>145402380</v>
      </c>
      <c r="T7" s="12" t="n"/>
    </row>
    <row r="8">
      <c r="A8" t="inlineStr">
        <is>
          <t xml:space="preserve">  + Revenus (entrees cash)</t>
        </is>
      </c>
      <c r="B8" s="9">
        <f>'P&amp;L Mensuel'!B11</f>
        <v/>
      </c>
      <c r="C8" s="9">
        <f>'P&amp;L Mensuel'!C11</f>
        <v/>
      </c>
      <c r="D8" s="9">
        <f>'P&amp;L Mensuel'!D11</f>
        <v/>
      </c>
      <c r="E8" s="9">
        <f>'P&amp;L Mensuel'!E11</f>
        <v/>
      </c>
      <c r="F8" s="9">
        <f>'P&amp;L Mensuel'!F11</f>
        <v/>
      </c>
      <c r="G8" s="9">
        <f>'P&amp;L Mensuel'!G11</f>
        <v/>
      </c>
      <c r="H8" s="9">
        <f>'P&amp;L Mensuel'!H11</f>
        <v/>
      </c>
      <c r="I8" s="9">
        <f>'P&amp;L Mensuel'!I11</f>
        <v/>
      </c>
      <c r="J8" s="9">
        <f>'P&amp;L Mensuel'!J11</f>
        <v/>
      </c>
      <c r="K8" s="9">
        <f>'P&amp;L Mensuel'!K11</f>
        <v/>
      </c>
      <c r="L8" s="9">
        <f>'P&amp;L Mensuel'!L11</f>
        <v/>
      </c>
      <c r="M8" s="9">
        <f>'P&amp;L Mensuel'!M11</f>
        <v/>
      </c>
      <c r="N8" s="9">
        <f>'P&amp;L Mensuel'!N11</f>
        <v/>
      </c>
      <c r="O8" s="9">
        <f>'P&amp;L Mensuel'!O11</f>
        <v/>
      </c>
      <c r="P8" s="9">
        <f>'P&amp;L Mensuel'!P11</f>
        <v/>
      </c>
      <c r="Q8" s="9">
        <f>'P&amp;L Mensuel'!Q11</f>
        <v/>
      </c>
      <c r="R8" s="9">
        <f>'P&amp;L Mensuel'!R11</f>
        <v/>
      </c>
      <c r="S8" s="9">
        <f>'P&amp;L Mensuel'!S11</f>
        <v/>
      </c>
      <c r="T8" s="9">
        <f>SUM(B8:S8)</f>
        <v/>
      </c>
    </row>
    <row r="9">
      <c r="A9" t="inlineStr">
        <is>
          <t xml:space="preserve">  - Couts variables + fixes</t>
        </is>
      </c>
      <c r="B9" s="9">
        <f>-('P&amp;L Mensuel'!B17+'P&amp;L Mensuel'!B24)</f>
        <v/>
      </c>
      <c r="C9" s="9">
        <f>-('P&amp;L Mensuel'!C17+'P&amp;L Mensuel'!C24)</f>
        <v/>
      </c>
      <c r="D9" s="9">
        <f>-('P&amp;L Mensuel'!D17+'P&amp;L Mensuel'!D24)</f>
        <v/>
      </c>
      <c r="E9" s="9">
        <f>-('P&amp;L Mensuel'!E17+'P&amp;L Mensuel'!E24)</f>
        <v/>
      </c>
      <c r="F9" s="9">
        <f>-('P&amp;L Mensuel'!F17+'P&amp;L Mensuel'!F24)</f>
        <v/>
      </c>
      <c r="G9" s="9">
        <f>-('P&amp;L Mensuel'!G17+'P&amp;L Mensuel'!G24)</f>
        <v/>
      </c>
      <c r="H9" s="9">
        <f>-('P&amp;L Mensuel'!H17+'P&amp;L Mensuel'!H24)</f>
        <v/>
      </c>
      <c r="I9" s="9">
        <f>-('P&amp;L Mensuel'!I17+'P&amp;L Mensuel'!I24)</f>
        <v/>
      </c>
      <c r="J9" s="9">
        <f>-('P&amp;L Mensuel'!J17+'P&amp;L Mensuel'!J24)</f>
        <v/>
      </c>
      <c r="K9" s="9">
        <f>-('P&amp;L Mensuel'!K17+'P&amp;L Mensuel'!K24)</f>
        <v/>
      </c>
      <c r="L9" s="9">
        <f>-('P&amp;L Mensuel'!L17+'P&amp;L Mensuel'!L24)</f>
        <v/>
      </c>
      <c r="M9" s="9">
        <f>-('P&amp;L Mensuel'!M17+'P&amp;L Mensuel'!M24)</f>
        <v/>
      </c>
      <c r="N9" s="9">
        <f>-('P&amp;L Mensuel'!N17+'P&amp;L Mensuel'!N24)</f>
        <v/>
      </c>
      <c r="O9" s="9">
        <f>-('P&amp;L Mensuel'!O17+'P&amp;L Mensuel'!O24)</f>
        <v/>
      </c>
      <c r="P9" s="9">
        <f>-('P&amp;L Mensuel'!P17+'P&amp;L Mensuel'!P24)</f>
        <v/>
      </c>
      <c r="Q9" s="9">
        <f>-('P&amp;L Mensuel'!Q17+'P&amp;L Mensuel'!Q24)</f>
        <v/>
      </c>
      <c r="R9" s="9">
        <f>-('P&amp;L Mensuel'!R17+'P&amp;L Mensuel'!R24)</f>
        <v/>
      </c>
      <c r="S9" s="9">
        <f>-('P&amp;L Mensuel'!S17+'P&amp;L Mensuel'!S24)</f>
        <v/>
      </c>
      <c r="T9" s="9">
        <f>SUM(B9:S9)</f>
        <v/>
      </c>
    </row>
    <row r="10">
      <c r="A10" s="14" t="inlineStr">
        <is>
          <t xml:space="preserve">  = Net cash flow</t>
        </is>
      </c>
      <c r="B10" s="15">
        <f>B8+B9</f>
        <v/>
      </c>
      <c r="C10" s="15">
        <f>C8+C9</f>
        <v/>
      </c>
      <c r="D10" s="15">
        <f>D8+D9</f>
        <v/>
      </c>
      <c r="E10" s="15">
        <f>E8+E9</f>
        <v/>
      </c>
      <c r="F10" s="15">
        <f>F8+F9</f>
        <v/>
      </c>
      <c r="G10" s="15">
        <f>G8+G9</f>
        <v/>
      </c>
      <c r="H10" s="15">
        <f>H8+H9</f>
        <v/>
      </c>
      <c r="I10" s="15">
        <f>I8+I9</f>
        <v/>
      </c>
      <c r="J10" s="15">
        <f>J8+J9</f>
        <v/>
      </c>
      <c r="K10" s="15">
        <f>K8+K9</f>
        <v/>
      </c>
      <c r="L10" s="15">
        <f>L8+L9</f>
        <v/>
      </c>
      <c r="M10" s="15">
        <f>M8+M9</f>
        <v/>
      </c>
      <c r="N10" s="15">
        <f>N8+N9</f>
        <v/>
      </c>
      <c r="O10" s="15">
        <f>O8+O9</f>
        <v/>
      </c>
      <c r="P10" s="15">
        <f>P8+P9</f>
        <v/>
      </c>
      <c r="Q10" s="15">
        <f>Q8+Q9</f>
        <v/>
      </c>
      <c r="R10" s="15">
        <f>R8+R9</f>
        <v/>
      </c>
      <c r="S10" s="15">
        <f>S8+S9</f>
        <v/>
      </c>
      <c r="T10" s="15">
        <f>SUM(B10:S10)</f>
        <v/>
      </c>
    </row>
    <row r="11"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14" t="inlineStr">
        <is>
          <t>Solde fermeture</t>
        </is>
      </c>
      <c r="B12" s="20">
        <f>B7+B10</f>
        <v/>
      </c>
      <c r="C12" s="20">
        <f>B12+C10</f>
        <v/>
      </c>
      <c r="D12" s="20">
        <f>C12+D10</f>
        <v/>
      </c>
      <c r="E12" s="20">
        <f>D12+E10</f>
        <v/>
      </c>
      <c r="F12" s="20">
        <f>E12+F10</f>
        <v/>
      </c>
      <c r="G12" s="20">
        <f>F12+G10</f>
        <v/>
      </c>
      <c r="H12" s="20">
        <f>G12+H10</f>
        <v/>
      </c>
      <c r="I12" s="20">
        <f>H12+I10</f>
        <v/>
      </c>
      <c r="J12" s="20">
        <f>I12+J10</f>
        <v/>
      </c>
      <c r="K12" s="20">
        <f>J12+K10</f>
        <v/>
      </c>
      <c r="L12" s="20">
        <f>K12+L10</f>
        <v/>
      </c>
      <c r="M12" s="20">
        <f>L12+M10</f>
        <v/>
      </c>
      <c r="N12" s="20">
        <f>M12+N10</f>
        <v/>
      </c>
      <c r="O12" s="20">
        <f>N12+O10</f>
        <v/>
      </c>
      <c r="P12" s="20">
        <f>O12+P10</f>
        <v/>
      </c>
      <c r="Q12" s="20">
        <f>P12+Q10</f>
        <v/>
      </c>
      <c r="R12" s="20">
        <f>Q12+R10</f>
        <v/>
      </c>
      <c r="S12" s="20">
        <f>R12+S10</f>
        <v/>
      </c>
      <c r="T12" s="20">
        <f>S7+S10</f>
        <v/>
      </c>
    </row>
    <row r="13">
      <c r="A13" t="inlineStr">
        <is>
          <t>Tresorerie nette cumulee</t>
        </is>
      </c>
      <c r="B13">
        <f>B12</f>
        <v/>
      </c>
      <c r="C13">
        <f>C12</f>
        <v/>
      </c>
      <c r="D13">
        <f>D12</f>
        <v/>
      </c>
      <c r="E13">
        <f>E12</f>
        <v/>
      </c>
      <c r="F13">
        <f>F12</f>
        <v/>
      </c>
      <c r="G13">
        <f>G12</f>
        <v/>
      </c>
      <c r="H13">
        <f>H12</f>
        <v/>
      </c>
      <c r="I13">
        <f>I12</f>
        <v/>
      </c>
      <c r="J13">
        <f>J12</f>
        <v/>
      </c>
      <c r="K13">
        <f>K12</f>
        <v/>
      </c>
      <c r="L13">
        <f>L12</f>
        <v/>
      </c>
      <c r="M13">
        <f>M12</f>
        <v/>
      </c>
      <c r="N13">
        <f>N12</f>
        <v/>
      </c>
      <c r="O13">
        <f>O12</f>
        <v/>
      </c>
      <c r="P13">
        <f>P12</f>
        <v/>
      </c>
      <c r="Q13">
        <f>Q12</f>
        <v/>
      </c>
      <c r="R13">
        <f>R12</f>
        <v/>
      </c>
      <c r="S13">
        <f>S12</f>
        <v/>
      </c>
    </row>
    <row r="15">
      <c r="A15" s="21" t="inlineStr">
        <is>
          <t>BURN RATE (FCFA/mois)</t>
        </is>
      </c>
      <c r="B15">
        <f>IF(B10&lt;0,-B10,0)</f>
        <v/>
      </c>
      <c r="C15">
        <f>IF(C10&lt;0,-C10,0)</f>
        <v/>
      </c>
      <c r="D15">
        <f>IF(D10&lt;0,-D10,0)</f>
        <v/>
      </c>
      <c r="E15">
        <f>IF(E10&lt;0,-E10,0)</f>
        <v/>
      </c>
      <c r="F15">
        <f>IF(F10&lt;0,-F10,0)</f>
        <v/>
      </c>
      <c r="G15">
        <f>IF(G10&lt;0,-G10,0)</f>
        <v/>
      </c>
      <c r="H15">
        <f>IF(H10&lt;0,-H10,0)</f>
        <v/>
      </c>
      <c r="I15">
        <f>IF(I10&lt;0,-I10,0)</f>
        <v/>
      </c>
      <c r="J15">
        <f>IF(J10&lt;0,-J10,0)</f>
        <v/>
      </c>
      <c r="K15">
        <f>IF(K10&lt;0,-K10,0)</f>
        <v/>
      </c>
      <c r="L15">
        <f>IF(L10&lt;0,-L10,0)</f>
        <v/>
      </c>
      <c r="M15">
        <f>IF(M10&lt;0,-M10,0)</f>
        <v/>
      </c>
      <c r="N15">
        <f>IF(N10&lt;0,-N10,0)</f>
        <v/>
      </c>
      <c r="O15">
        <f>IF(O10&lt;0,-O10,0)</f>
        <v/>
      </c>
      <c r="P15">
        <f>IF(P10&lt;0,-P10,0)</f>
        <v/>
      </c>
      <c r="Q15">
        <f>IF(Q10&lt;0,-Q10,0)</f>
        <v/>
      </c>
      <c r="R15">
        <f>IF(R10&lt;0,-R10,0)</f>
        <v/>
      </c>
      <c r="S15">
        <f>IF(S10&lt;0,-S10,0)</f>
        <v/>
      </c>
      <c r="T15">
        <f>AVERAGE(B15:S15)</f>
        <v/>
      </c>
    </row>
    <row r="16">
      <c r="A16" t="inlineStr">
        <is>
          <t>Runway (mois restants, si burn perpetuel)</t>
        </is>
      </c>
      <c r="B16" s="22">
        <f>IF(B15&gt;0,B12/B15,"inf")</f>
        <v/>
      </c>
      <c r="C16" s="22">
        <f>IF(C15&gt;0,C12/C15,"inf")</f>
        <v/>
      </c>
      <c r="D16" s="22">
        <f>IF(D15&gt;0,D12/D15,"inf")</f>
        <v/>
      </c>
      <c r="E16" s="22">
        <f>IF(E15&gt;0,E12/E15,"inf")</f>
        <v/>
      </c>
      <c r="F16" s="22">
        <f>IF(F15&gt;0,F12/F15,"inf")</f>
        <v/>
      </c>
      <c r="G16" s="22">
        <f>IF(G15&gt;0,G12/G15,"inf")</f>
        <v/>
      </c>
      <c r="H16" s="22">
        <f>IF(H15&gt;0,H12/H15,"inf")</f>
        <v/>
      </c>
      <c r="I16" s="22">
        <f>IF(I15&gt;0,I12/I15,"inf")</f>
        <v/>
      </c>
      <c r="J16" s="22">
        <f>IF(J15&gt;0,J12/J15,"inf")</f>
        <v/>
      </c>
      <c r="K16" s="22">
        <f>IF(K15&gt;0,K12/K15,"inf")</f>
        <v/>
      </c>
      <c r="L16" s="22">
        <f>IF(L15&gt;0,L12/L15,"inf")</f>
        <v/>
      </c>
      <c r="M16" s="22">
        <f>IF(M15&gt;0,M12/M15,"inf")</f>
        <v/>
      </c>
      <c r="N16" s="22">
        <f>IF(N15&gt;0,N12/N15,"inf")</f>
        <v/>
      </c>
      <c r="O16" s="22">
        <f>IF(O15&gt;0,O12/O15,"inf")</f>
        <v/>
      </c>
      <c r="P16" s="22">
        <f>IF(P15&gt;0,P12/P15,"inf")</f>
        <v/>
      </c>
      <c r="Q16" s="22">
        <f>IF(Q15&gt;0,Q12/Q15,"inf")</f>
        <v/>
      </c>
      <c r="R16" s="22">
        <f>IF(R15&gt;0,R12/R15,"inf")</f>
        <v/>
      </c>
      <c r="S16" s="22">
        <f>IF(S15&gt;0,S12/S15,"inf")</f>
        <v/>
      </c>
    </row>
    <row r="18">
      <c r="A18" s="2" t="inlineStr">
        <is>
          <t>Note : le solde ouverture demarre avec le capital initial (246 400 USD = 147,8 M FCFA).</t>
        </is>
      </c>
    </row>
    <row r="19">
      <c r="A19" s="2" t="inlineStr">
        <is>
          <t>Les subventions (5/10/15 M FCFA a M6/M12/M18) sont incluses dans les revenus.</t>
        </is>
      </c>
    </row>
    <row r="20">
      <c r="A20" s="2" t="inlineStr">
        <is>
          <t>Le break-even operationnel est atteint quand le net cash flow devient positif.</t>
        </is>
      </c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</cols>
  <sheetData>
    <row r="1" ht="24" customHeight="1">
      <c r="A1" s="1" t="inlineStr">
        <is>
          <t>EXAMBOOST TOGO - SCENARIOS (PESSIMISTE / REALISTE / OPTIMISTE)</t>
        </is>
      </c>
    </row>
    <row r="3">
      <c r="A3" s="2" t="inlineStr">
        <is>
          <t>Hypotheses alignees sur Plan_GoToMarket section 5.4 (KPIs financiers).</t>
        </is>
      </c>
    </row>
    <row r="5">
      <c r="A5" s="3" t="inlineStr">
        <is>
          <t>Scenario</t>
        </is>
      </c>
      <c r="B5" s="3" t="inlineStr">
        <is>
          <t>M6 users</t>
        </is>
      </c>
      <c r="C5" s="3" t="inlineStr">
        <is>
          <t>M12 users</t>
        </is>
      </c>
      <c r="D5" s="3" t="inlineStr">
        <is>
          <t>M18 users</t>
        </is>
      </c>
      <c r="E5" s="3" t="inlineStr">
        <is>
          <t>M18 ecoles</t>
        </is>
      </c>
      <c r="F5" s="3" t="inlineStr">
        <is>
          <t>M18 premium</t>
        </is>
      </c>
      <c r="G5" s="3" t="inlineStr">
        <is>
          <t>M18 revenus/mois (FCFA)</t>
        </is>
      </c>
      <c r="H5" s="3" t="inlineStr">
        <is>
          <t>Break-even mois</t>
        </is>
      </c>
    </row>
    <row r="6">
      <c r="A6" s="5" t="inlineStr">
        <is>
          <t>Pessimiste</t>
        </is>
      </c>
      <c r="B6" s="6" t="n">
        <v>100</v>
      </c>
      <c r="C6" s="6" t="n">
        <v>1000</v>
      </c>
      <c r="D6" s="6" t="n">
        <v>5000</v>
      </c>
      <c r="E6" s="6" t="n">
        <v>50</v>
      </c>
      <c r="F6" s="6" t="n">
        <v>250</v>
      </c>
      <c r="G6" s="12" t="n">
        <v>1000000</v>
      </c>
      <c r="H6" s="23" t="inlineStr">
        <is>
          <t>M18+ (non atteint)</t>
        </is>
      </c>
    </row>
    <row r="7">
      <c r="A7" s="24" t="inlineStr">
        <is>
          <t>Realiste</t>
        </is>
      </c>
      <c r="B7" s="25" t="n">
        <v>1000</v>
      </c>
      <c r="C7" s="25" t="n">
        <v>5000</v>
      </c>
      <c r="D7" s="25" t="n">
        <v>50000</v>
      </c>
      <c r="E7" s="25" t="n">
        <v>200</v>
      </c>
      <c r="F7" s="25" t="n">
        <v>2500</v>
      </c>
      <c r="G7" s="26" t="n">
        <v>5000000</v>
      </c>
      <c r="H7" s="27" t="inlineStr">
        <is>
          <t>M13</t>
        </is>
      </c>
    </row>
    <row r="8">
      <c r="A8" s="5" t="inlineStr">
        <is>
          <t>Optimiste</t>
        </is>
      </c>
      <c r="B8" s="6" t="n">
        <v>1000</v>
      </c>
      <c r="C8" s="6" t="n">
        <v>15000</v>
      </c>
      <c r="D8" s="6" t="n">
        <v>100000</v>
      </c>
      <c r="E8" s="6" t="n">
        <v>400</v>
      </c>
      <c r="F8" s="6" t="n">
        <v>5000</v>
      </c>
      <c r="G8" s="12" t="n">
        <v>12000000</v>
      </c>
      <c r="H8" s="23" t="inlineStr">
        <is>
          <t>M9</t>
        </is>
      </c>
    </row>
    <row r="11">
      <c r="A11" s="28" t="inlineStr">
        <is>
          <t>DETAIL DES 3 SCENARIOS</t>
        </is>
      </c>
    </row>
    <row r="13">
      <c r="A13" s="3" t="inlineStr">
        <is>
          <t>Mois</t>
        </is>
      </c>
      <c r="B13" s="3" t="inlineStr">
        <is>
          <t>Pessimiste - users</t>
        </is>
      </c>
      <c r="C13" s="3" t="inlineStr">
        <is>
          <t>Pessimiste - revenus</t>
        </is>
      </c>
      <c r="D13" s="3" t="inlineStr">
        <is>
          <t>Realiste - users</t>
        </is>
      </c>
      <c r="E13" s="3" t="inlineStr">
        <is>
          <t>Realiste - revenus</t>
        </is>
      </c>
      <c r="F13" s="3" t="inlineStr">
        <is>
          <t>Optimiste - users</t>
        </is>
      </c>
      <c r="G13" s="3" t="inlineStr">
        <is>
          <t>Optimiste - revenus</t>
        </is>
      </c>
    </row>
    <row r="14">
      <c r="A14" s="29" t="inlineStr">
        <is>
          <t>M1</t>
        </is>
      </c>
      <c r="B14" s="6" t="n">
        <v>50</v>
      </c>
      <c r="C14" s="12" t="n">
        <v>12500</v>
      </c>
      <c r="D14" s="30" t="n">
        <v>50</v>
      </c>
      <c r="E14" s="31" t="n">
        <v>12500</v>
      </c>
      <c r="F14" s="6" t="n">
        <v>200</v>
      </c>
      <c r="G14" s="12" t="n">
        <v>25000</v>
      </c>
    </row>
    <row r="15">
      <c r="A15" s="29" t="inlineStr">
        <is>
          <t>M2</t>
        </is>
      </c>
      <c r="B15" s="6" t="n">
        <v>60</v>
      </c>
      <c r="C15" s="12" t="n">
        <v>25000</v>
      </c>
      <c r="D15" s="30" t="n">
        <v>100</v>
      </c>
      <c r="E15" s="31" t="n">
        <v>37500</v>
      </c>
      <c r="F15" s="6" t="n">
        <v>400</v>
      </c>
      <c r="G15" s="12" t="n">
        <v>62500</v>
      </c>
    </row>
    <row r="16">
      <c r="A16" s="29" t="inlineStr">
        <is>
          <t>M3</t>
        </is>
      </c>
      <c r="B16" s="6" t="n">
        <v>100</v>
      </c>
      <c r="C16" s="12" t="n">
        <v>37500</v>
      </c>
      <c r="D16" s="30" t="n">
        <v>300</v>
      </c>
      <c r="E16" s="31" t="n">
        <v>62500</v>
      </c>
      <c r="F16" s="6" t="n">
        <v>1000</v>
      </c>
      <c r="G16" s="12" t="n">
        <v>125000</v>
      </c>
    </row>
    <row r="17">
      <c r="A17" s="29" t="inlineStr">
        <is>
          <t>M4</t>
        </is>
      </c>
      <c r="B17" s="6" t="n">
        <v>100</v>
      </c>
      <c r="C17" s="12" t="n">
        <v>63000</v>
      </c>
      <c r="D17" s="30" t="n">
        <v>500</v>
      </c>
      <c r="E17" s="31" t="n">
        <v>105000</v>
      </c>
      <c r="F17" s="6" t="n">
        <v>1000</v>
      </c>
      <c r="G17" s="12" t="n">
        <v>202500</v>
      </c>
    </row>
    <row r="18">
      <c r="A18" s="29" t="inlineStr">
        <is>
          <t>M5</t>
        </is>
      </c>
      <c r="B18" s="6" t="n">
        <v>100</v>
      </c>
      <c r="C18" s="12" t="n">
        <v>101000</v>
      </c>
      <c r="D18" s="30" t="n">
        <v>800</v>
      </c>
      <c r="E18" s="31" t="n">
        <v>203500</v>
      </c>
      <c r="F18" s="6" t="n">
        <v>1000</v>
      </c>
      <c r="G18" s="12" t="n">
        <v>342500</v>
      </c>
    </row>
    <row r="19">
      <c r="A19" s="29" t="inlineStr">
        <is>
          <t>M6</t>
        </is>
      </c>
      <c r="B19" s="6" t="n">
        <v>100</v>
      </c>
      <c r="C19" s="12" t="n">
        <v>127000</v>
      </c>
      <c r="D19" s="30" t="n">
        <v>1000</v>
      </c>
      <c r="E19" s="31" t="n">
        <v>290000</v>
      </c>
      <c r="F19" s="6" t="n">
        <v>1000</v>
      </c>
      <c r="G19" s="12" t="n">
        <v>560000</v>
      </c>
    </row>
    <row r="20">
      <c r="A20" s="29" t="inlineStr">
        <is>
          <t>M7</t>
        </is>
      </c>
      <c r="B20" s="6" t="n">
        <v>200</v>
      </c>
      <c r="C20" s="12" t="n">
        <v>154000</v>
      </c>
      <c r="D20" s="30" t="n">
        <v>2000</v>
      </c>
      <c r="E20" s="31" t="n">
        <v>455000</v>
      </c>
      <c r="F20" s="6" t="n">
        <v>3000</v>
      </c>
      <c r="G20" s="12" t="n">
        <v>930000</v>
      </c>
    </row>
    <row r="21">
      <c r="A21" s="29" t="inlineStr">
        <is>
          <t>M8</t>
        </is>
      </c>
      <c r="B21" s="6" t="n">
        <v>400</v>
      </c>
      <c r="C21" s="12" t="n">
        <v>197500</v>
      </c>
      <c r="D21" s="30" t="n">
        <v>3500</v>
      </c>
      <c r="E21" s="31" t="n">
        <v>675000</v>
      </c>
      <c r="F21" s="6" t="n">
        <v>6000</v>
      </c>
      <c r="G21" s="12" t="n">
        <v>1450000</v>
      </c>
    </row>
    <row r="22">
      <c r="A22" s="29" t="inlineStr">
        <is>
          <t>M9</t>
        </is>
      </c>
      <c r="B22" s="6" t="n">
        <v>600</v>
      </c>
      <c r="C22" s="12" t="n">
        <v>268000</v>
      </c>
      <c r="D22" s="30" t="n">
        <v>5000</v>
      </c>
      <c r="E22" s="31" t="n">
        <v>925000</v>
      </c>
      <c r="F22" s="6" t="n">
        <v>9000</v>
      </c>
      <c r="G22" s="12" t="n">
        <v>2060000</v>
      </c>
    </row>
    <row r="23">
      <c r="A23" s="29" t="inlineStr">
        <is>
          <t>M10</t>
        </is>
      </c>
      <c r="B23" s="6" t="n">
        <v>700</v>
      </c>
      <c r="C23" s="12" t="n">
        <v>337000</v>
      </c>
      <c r="D23" s="30" t="n">
        <v>8000</v>
      </c>
      <c r="E23" s="31" t="n">
        <v>1435000</v>
      </c>
      <c r="F23" s="6" t="n">
        <v>11000</v>
      </c>
      <c r="G23" s="12" t="n">
        <v>3030000</v>
      </c>
    </row>
    <row r="24">
      <c r="A24" s="29" t="inlineStr">
        <is>
          <t>M11</t>
        </is>
      </c>
      <c r="B24" s="6" t="n">
        <v>800</v>
      </c>
      <c r="C24" s="12" t="n">
        <v>407000</v>
      </c>
      <c r="D24" s="30" t="n">
        <v>12000</v>
      </c>
      <c r="E24" s="31" t="n">
        <v>2085000</v>
      </c>
      <c r="F24" s="6" t="n">
        <v>13000</v>
      </c>
      <c r="G24" s="12" t="n">
        <v>4060000</v>
      </c>
    </row>
    <row r="25">
      <c r="A25" s="29" t="inlineStr">
        <is>
          <t>M12</t>
        </is>
      </c>
      <c r="B25" s="6" t="n">
        <v>1000</v>
      </c>
      <c r="C25" s="12" t="n">
        <v>477500</v>
      </c>
      <c r="D25" s="30" t="n">
        <v>20000</v>
      </c>
      <c r="E25" s="31" t="n">
        <v>2850000</v>
      </c>
      <c r="F25" s="6" t="n">
        <v>15000</v>
      </c>
      <c r="G25" s="12" t="n">
        <v>4925000</v>
      </c>
    </row>
    <row r="26">
      <c r="A26" s="29" t="inlineStr">
        <is>
          <t>M13</t>
        </is>
      </c>
      <c r="B26" s="6" t="n">
        <v>1500</v>
      </c>
      <c r="C26" s="12" t="n">
        <v>542500</v>
      </c>
      <c r="D26" s="30" t="n">
        <v>25000</v>
      </c>
      <c r="E26" s="31" t="n">
        <v>3875000</v>
      </c>
      <c r="F26" s="6" t="n">
        <v>25000</v>
      </c>
      <c r="G26" s="12" t="n">
        <v>6875000</v>
      </c>
    </row>
    <row r="27">
      <c r="A27" s="29" t="inlineStr">
        <is>
          <t>M14</t>
        </is>
      </c>
      <c r="B27" s="6" t="n">
        <v>2000</v>
      </c>
      <c r="C27" s="12" t="n">
        <v>615000</v>
      </c>
      <c r="D27" s="30" t="n">
        <v>30000</v>
      </c>
      <c r="E27" s="31" t="n">
        <v>4575000</v>
      </c>
      <c r="F27" s="6" t="n">
        <v>40000</v>
      </c>
      <c r="G27" s="12" t="n">
        <v>9400000</v>
      </c>
    </row>
    <row r="28">
      <c r="A28" s="29" t="inlineStr">
        <is>
          <t>M15</t>
        </is>
      </c>
      <c r="B28" s="6" t="n">
        <v>3000</v>
      </c>
      <c r="C28" s="12" t="n">
        <v>712500</v>
      </c>
      <c r="D28" s="30" t="n">
        <v>35000</v>
      </c>
      <c r="E28" s="31" t="n">
        <v>5625000</v>
      </c>
      <c r="F28" s="6" t="n">
        <v>60000</v>
      </c>
      <c r="G28" s="12" t="n">
        <v>12775000</v>
      </c>
    </row>
    <row r="29">
      <c r="A29" s="29" t="inlineStr">
        <is>
          <t>M16</t>
        </is>
      </c>
      <c r="B29" s="6" t="n">
        <v>3500</v>
      </c>
      <c r="C29" s="12" t="n">
        <v>762500</v>
      </c>
      <c r="D29" s="30" t="n">
        <v>40000</v>
      </c>
      <c r="E29" s="31" t="n">
        <v>6250000</v>
      </c>
      <c r="F29" s="6" t="n">
        <v>70000</v>
      </c>
      <c r="G29" s="12" t="n">
        <v>14425000</v>
      </c>
    </row>
    <row r="30">
      <c r="A30" s="29" t="inlineStr">
        <is>
          <t>M17</t>
        </is>
      </c>
      <c r="B30" s="6" t="n">
        <v>4000</v>
      </c>
      <c r="C30" s="12" t="n">
        <v>800000</v>
      </c>
      <c r="D30" s="30" t="n">
        <v>45000</v>
      </c>
      <c r="E30" s="31" t="n">
        <v>6875000</v>
      </c>
      <c r="F30" s="6" t="n">
        <v>85000</v>
      </c>
      <c r="G30" s="12" t="n">
        <v>16712500</v>
      </c>
    </row>
    <row r="31">
      <c r="A31" s="29" t="inlineStr">
        <is>
          <t>M18</t>
        </is>
      </c>
      <c r="B31" s="6" t="n">
        <v>5000</v>
      </c>
      <c r="C31" s="12" t="n">
        <v>875000</v>
      </c>
      <c r="D31" s="30" t="n">
        <v>50000</v>
      </c>
      <c r="E31" s="31" t="n">
        <v>7500000</v>
      </c>
      <c r="F31" s="6" t="n">
        <v>100000</v>
      </c>
      <c r="G31" s="12" t="n">
        <v>19000000</v>
      </c>
    </row>
    <row r="33">
      <c r="A33" s="2" t="inlineStr">
        <is>
          <t>Note : scenario realiste (colonne en surbrillance) = scenario de reference pour le P&amp;L Mensuel.</t>
        </is>
      </c>
    </row>
    <row r="34">
      <c r="A34" s="2" t="inlineStr">
        <is>
          <t>Hypotheses pessimiste : -50 % users, -75 % ecoles, -50 % conversion premium, pas de subvention.</t>
        </is>
      </c>
    </row>
    <row r="35">
      <c r="A35" s="2" t="inlineStr">
        <is>
          <t>Hypotheses optimiste : +100 % users, +100 % ecoles, +50 % conversion premium, subventions doublees.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22" customWidth="1" min="4" max="4"/>
    <col width="22" customWidth="1" min="5" max="5"/>
    <col width="14" customWidth="1" min="6" max="6"/>
  </cols>
  <sheetData>
    <row r="1" ht="24" customHeight="1">
      <c r="A1" s="1" t="inlineStr">
        <is>
          <t>EXAMBOOST TOGO - BREAK-EVEN ANALYSIS</t>
        </is>
      </c>
    </row>
    <row r="3">
      <c r="A3" s="2" t="inlineStr">
        <is>
          <t>Calcul du point mort operationnel : quand les revenus couvrent les couts fixes.</t>
        </is>
      </c>
    </row>
    <row r="5">
      <c r="A5" s="28" t="inlineStr">
        <is>
          <t>1. PARAMETRES DE BASE</t>
        </is>
      </c>
    </row>
    <row r="6">
      <c r="A6" s="13" t="inlineStr">
        <is>
          <t>Couts fixes mensuels au pic (M9+)</t>
        </is>
      </c>
      <c r="B6" s="32" t="n">
        <v>3682800</v>
      </c>
      <c r="C6" s="13" t="inlineStr">
        <is>
          <t>FCFA/mois</t>
        </is>
      </c>
    </row>
    <row r="7">
      <c r="A7" s="13" t="inlineStr">
        <is>
          <t>Couts fixes mensuels phase pilote (M1-M3)</t>
        </is>
      </c>
      <c r="B7" s="32" t="n">
        <v>1218000</v>
      </c>
      <c r="C7" s="13" t="inlineStr">
        <is>
          <t>FCFA/mois</t>
        </is>
      </c>
    </row>
    <row r="8">
      <c r="A8" s="13" t="inlineStr">
        <is>
          <t>Marge sur couts variables (cible M18)</t>
        </is>
      </c>
      <c r="B8" s="33" t="n">
        <v>0.7</v>
      </c>
      <c r="C8" s="13" t="inlineStr">
        <is>
          <t>%</t>
        </is>
      </c>
    </row>
    <row r="9">
      <c r="A9" s="13" t="inlineStr">
        <is>
          <t>Revenu moyen par ecole/an (mix 30/60/10)</t>
        </is>
      </c>
      <c r="B9" s="32" t="n">
        <v>150000</v>
      </c>
      <c r="C9" s="13" t="inlineStr">
        <is>
          <t>FCFA/an</t>
        </is>
      </c>
    </row>
    <row r="10">
      <c r="A10" s="13" t="inlineStr">
        <is>
          <t>Revenu moyen par ecole/mois</t>
        </is>
      </c>
      <c r="B10" s="32" t="n">
        <v>12500</v>
      </c>
      <c r="C10" s="13" t="inlineStr">
        <is>
          <t>FCFA/mois</t>
        </is>
      </c>
    </row>
    <row r="11">
      <c r="A11" s="13" t="inlineStr">
        <is>
          <t>Revenu premium moyen/eleve/mois (5 % conversion)</t>
        </is>
      </c>
      <c r="B11" s="34" t="n">
        <v>100</v>
      </c>
      <c r="C11" s="13" t="inlineStr">
        <is>
          <t>FCFA/eleve/mois</t>
        </is>
      </c>
    </row>
    <row r="12">
      <c r="A12" s="13" t="inlineStr">
        <is>
          <t>CAC eleve</t>
        </is>
      </c>
      <c r="B12" s="34" t="n">
        <v>400</v>
      </c>
      <c r="C12" s="13" t="inlineStr">
        <is>
          <t>FCFA</t>
        </is>
      </c>
    </row>
    <row r="13">
      <c r="A13" s="13" t="inlineStr">
        <is>
          <t>CAC ecole</t>
        </is>
      </c>
      <c r="B13" s="32" t="n">
        <v>30000</v>
      </c>
      <c r="C13" s="13" t="inlineStr">
        <is>
          <t>FCFA</t>
        </is>
      </c>
    </row>
    <row r="14">
      <c r="A14" s="13" t="inlineStr">
        <is>
          <t>LTV eleve premium (12 mois)</t>
        </is>
      </c>
      <c r="B14" s="32" t="n">
        <v>15000</v>
      </c>
      <c r="C14" s="13" t="inlineStr">
        <is>
          <t>FCFA</t>
        </is>
      </c>
    </row>
    <row r="15">
      <c r="A15" s="13" t="inlineStr">
        <is>
          <t>LTV ecole (3 ans)</t>
        </is>
      </c>
      <c r="B15" s="32" t="n">
        <v>300000</v>
      </c>
      <c r="C15" s="13" t="inlineStr">
        <is>
          <t>FCFA</t>
        </is>
      </c>
    </row>
    <row r="16">
      <c r="A16" s="13" t="inlineStr">
        <is>
          <t>Ratio LTV/CAC eleve</t>
        </is>
      </c>
      <c r="B16" s="35" t="n">
        <v>37.5</v>
      </c>
      <c r="C16" s="13" t="inlineStr">
        <is>
          <t>x</t>
        </is>
      </c>
    </row>
    <row r="17">
      <c r="A17" s="13" t="inlineStr">
        <is>
          <t>Ratio LTV/CAC ecole</t>
        </is>
      </c>
      <c r="B17" s="35" t="n">
        <v>10</v>
      </c>
      <c r="C17" s="13" t="inlineStr">
        <is>
          <t>x</t>
        </is>
      </c>
    </row>
    <row r="19">
      <c r="A19" s="28" t="inlineStr">
        <is>
          <t>2. CALCUL DU POINT MORT</t>
        </is>
      </c>
    </row>
    <row r="20">
      <c r="A20" s="13" t="inlineStr">
        <is>
          <t>Couts fixes mensuels (pic)</t>
        </is>
      </c>
      <c r="B20" s="32" t="n">
        <v>3682800</v>
      </c>
      <c r="C20" s="13" t="inlineStr">
        <is>
          <t>FCFA/mois</t>
        </is>
      </c>
    </row>
    <row r="21">
      <c r="A21" s="13" t="inlineStr">
        <is>
          <t>Marge sur couts variables</t>
        </is>
      </c>
      <c r="B21" s="33" t="n">
        <v>0.7</v>
      </c>
      <c r="C21" s="13" t="inlineStr">
        <is>
          <t>%</t>
        </is>
      </c>
    </row>
    <row r="22">
      <c r="A22" s="36" t="inlineStr">
        <is>
          <t>Break-even revenus mensuels</t>
        </is>
      </c>
      <c r="B22" s="37" t="n">
        <v>5261142.857142858</v>
      </c>
      <c r="C22" s="13" t="inlineStr">
        <is>
          <t>FCFA/mois</t>
        </is>
      </c>
    </row>
    <row r="23">
      <c r="A23" s="13" t="inlineStr">
        <is>
          <t>Revenu moyen par ecole/mois</t>
        </is>
      </c>
      <c r="B23" s="32" t="n">
        <v>12500</v>
      </c>
      <c r="C23" s="13" t="inlineStr">
        <is>
          <t>FCFA/mois</t>
        </is>
      </c>
    </row>
    <row r="24">
      <c r="A24" s="36" t="inlineStr">
        <is>
          <t>Break-even en nb d'ecoles (sans premium)</t>
        </is>
      </c>
      <c r="B24" s="38" t="n">
        <v>420.8914285714287</v>
      </c>
      <c r="C24" s="13" t="inlineStr">
        <is>
          <t>ecoles</t>
        </is>
      </c>
    </row>
    <row r="25">
      <c r="A25" s="13" t="inlineStr"/>
      <c r="B25" s="13" t="inlineStr"/>
      <c r="C25" s="13" t="inlineStr"/>
    </row>
    <row r="26">
      <c r="A26" s="13" t="inlineStr">
        <is>
          <t>Avec premium (5 % x 2000 FCFA/eleve) :</t>
        </is>
      </c>
      <c r="B26" s="13" t="inlineStr"/>
      <c r="C26" s="13" t="inlineStr"/>
    </row>
    <row r="27">
      <c r="A27" s="13" t="inlineStr">
        <is>
          <t xml:space="preserve">  Revenu premium associe par ecole (25 eleves premium/ecole)</t>
        </is>
      </c>
      <c r="B27" s="32" t="n">
        <v>50000</v>
      </c>
      <c r="C27" s="13" t="inlineStr">
        <is>
          <t>FCFA/mois</t>
        </is>
      </c>
    </row>
    <row r="28">
      <c r="A28" s="13" t="inlineStr">
        <is>
          <t xml:space="preserve">  Revenu total par ecole (ecole + premium associe)</t>
        </is>
      </c>
      <c r="B28" s="32" t="n">
        <v>62500</v>
      </c>
      <c r="C28" s="13" t="inlineStr">
        <is>
          <t>FCFA/mois</t>
        </is>
      </c>
    </row>
    <row r="29">
      <c r="A29" s="36" t="inlineStr">
        <is>
          <t xml:space="preserve">  Break-even en nb d'ecoles (avec premium)</t>
        </is>
      </c>
      <c r="B29" s="38" t="n">
        <v>84.17828571428574</v>
      </c>
      <c r="C29" s="13" t="inlineStr">
        <is>
          <t>ecoles</t>
        </is>
      </c>
    </row>
    <row r="30">
      <c r="A30" s="13" t="inlineStr"/>
      <c r="B30" s="13" t="inlineStr"/>
      <c r="C30" s="13" t="inlineStr"/>
    </row>
    <row r="31">
      <c r="A31" s="36" t="inlineStr">
        <is>
          <t>Cible Plan_GoToMarket</t>
        </is>
      </c>
      <c r="B31" s="38" t="n">
        <v>100</v>
      </c>
      <c r="C31" s="13" t="inlineStr">
        <is>
          <t>ecoles a M13</t>
        </is>
      </c>
    </row>
    <row r="32">
      <c r="A32" s="36" t="inlineStr">
        <is>
          <t>Statut break-even a M13</t>
        </is>
      </c>
      <c r="B32" s="39" t="inlineStr">
        <is>
          <t>Quasi atteint (95 % couverture)</t>
        </is>
      </c>
      <c r="C32" s="13" t="inlineStr"/>
    </row>
    <row r="33">
      <c r="A33" s="36" t="inlineStr">
        <is>
          <t>Statut break-even a M18</t>
        </is>
      </c>
      <c r="B33" s="39" t="inlineStr">
        <is>
          <t>Atteint (167 % couverture)</t>
        </is>
      </c>
      <c r="C33" s="13" t="inlineStr"/>
    </row>
    <row r="35">
      <c r="A35" s="28" t="inlineStr">
        <is>
          <t>3. EVOLUTION REVENUS VS COUTS FIXES (18 MOIS)</t>
        </is>
      </c>
    </row>
    <row r="36">
      <c r="A36" s="3" t="inlineStr">
        <is>
          <t>Mois</t>
        </is>
      </c>
      <c r="B36" s="3" t="inlineStr">
        <is>
          <t>Revenus mensuels (FCFA)</t>
        </is>
      </c>
      <c r="C36" s="3" t="inlineStr">
        <is>
          <t>Couts fixes mensuels (FCFA)</t>
        </is>
      </c>
      <c r="D36" s="3" t="inlineStr">
        <is>
          <t>Couts totaux (FCFA)</t>
        </is>
      </c>
      <c r="E36" s="3" t="inlineStr">
        <is>
          <t>Marge nette (FCFA)</t>
        </is>
      </c>
      <c r="F36" s="3" t="inlineStr">
        <is>
          <t>Statut</t>
        </is>
      </c>
    </row>
    <row r="37">
      <c r="A37" s="13" t="inlineStr">
        <is>
          <t>M1</t>
        </is>
      </c>
      <c r="B37" s="12" t="n">
        <v>12500</v>
      </c>
      <c r="C37" s="12" t="n">
        <v>1218000</v>
      </c>
      <c r="D37" s="12" t="n">
        <v>1239550</v>
      </c>
      <c r="E37" s="40" t="n">
        <v>-1227050</v>
      </c>
      <c r="F37" s="41" t="inlineStr">
        <is>
          <t>Deficit</t>
        </is>
      </c>
    </row>
    <row r="38">
      <c r="A38" s="13" t="inlineStr">
        <is>
          <t>M2</t>
        </is>
      </c>
      <c r="B38" s="12" t="n">
        <v>37500</v>
      </c>
      <c r="C38" s="12" t="n">
        <v>1755600</v>
      </c>
      <c r="D38" s="12" t="n">
        <v>1780950</v>
      </c>
      <c r="E38" s="40" t="n">
        <v>-1743450</v>
      </c>
      <c r="F38" s="41" t="inlineStr">
        <is>
          <t>Deficit</t>
        </is>
      </c>
    </row>
    <row r="39">
      <c r="A39" s="13" t="inlineStr">
        <is>
          <t>M3</t>
        </is>
      </c>
      <c r="B39" s="12" t="n">
        <v>62500</v>
      </c>
      <c r="C39" s="12" t="n">
        <v>1755600</v>
      </c>
      <c r="D39" s="12" t="n">
        <v>1785650</v>
      </c>
      <c r="E39" s="40" t="n">
        <v>-1723150</v>
      </c>
      <c r="F39" s="41" t="inlineStr">
        <is>
          <t>Deficit</t>
        </is>
      </c>
    </row>
    <row r="40">
      <c r="A40" s="13" t="inlineStr">
        <is>
          <t>M4</t>
        </is>
      </c>
      <c r="B40" s="12" t="n">
        <v>105000</v>
      </c>
      <c r="C40" s="12" t="n">
        <v>2607600</v>
      </c>
      <c r="D40" s="12" t="n">
        <v>2642700</v>
      </c>
      <c r="E40" s="40" t="n">
        <v>-2537700</v>
      </c>
      <c r="F40" s="41" t="inlineStr">
        <is>
          <t>Deficit</t>
        </is>
      </c>
    </row>
    <row r="41">
      <c r="A41" s="13" t="inlineStr">
        <is>
          <t>M5</t>
        </is>
      </c>
      <c r="B41" s="12" t="n">
        <v>203500</v>
      </c>
      <c r="C41" s="12" t="n">
        <v>2607600</v>
      </c>
      <c r="D41" s="12" t="n">
        <v>2649470</v>
      </c>
      <c r="E41" s="40" t="n">
        <v>-2445970</v>
      </c>
      <c r="F41" s="41" t="inlineStr">
        <is>
          <t>Deficit</t>
        </is>
      </c>
    </row>
    <row r="42">
      <c r="A42" s="13" t="inlineStr">
        <is>
          <t>M6</t>
        </is>
      </c>
      <c r="B42" s="12" t="n">
        <v>5290000</v>
      </c>
      <c r="C42" s="12" t="n">
        <v>2607600</v>
      </c>
      <c r="D42" s="12" t="n">
        <v>2655400</v>
      </c>
      <c r="E42" s="42" t="n">
        <v>2634600</v>
      </c>
      <c r="F42" s="43" t="inlineStr">
        <is>
          <t>Break-even</t>
        </is>
      </c>
    </row>
    <row r="43">
      <c r="A43" s="13" t="inlineStr">
        <is>
          <t>M7</t>
        </is>
      </c>
      <c r="B43" s="12" t="n">
        <v>455000</v>
      </c>
      <c r="C43" s="12" t="n">
        <v>2607600</v>
      </c>
      <c r="D43" s="12" t="n">
        <v>2667700</v>
      </c>
      <c r="E43" s="40" t="n">
        <v>-2212700</v>
      </c>
      <c r="F43" s="41" t="inlineStr">
        <is>
          <t>Deficit</t>
        </is>
      </c>
    </row>
    <row r="44">
      <c r="A44" s="13" t="inlineStr">
        <is>
          <t>M8</t>
        </is>
      </c>
      <c r="B44" s="12" t="n">
        <v>675000</v>
      </c>
      <c r="C44" s="12" t="n">
        <v>2607600</v>
      </c>
      <c r="D44" s="12" t="n">
        <v>2684100</v>
      </c>
      <c r="E44" s="40" t="n">
        <v>-2009100</v>
      </c>
      <c r="F44" s="41" t="inlineStr">
        <is>
          <t>Deficit</t>
        </is>
      </c>
    </row>
    <row r="45">
      <c r="A45" s="13" t="inlineStr">
        <is>
          <t>M9</t>
        </is>
      </c>
      <c r="B45" s="12" t="n">
        <v>925000</v>
      </c>
      <c r="C45" s="12" t="n">
        <v>3682800</v>
      </c>
      <c r="D45" s="12" t="n">
        <v>3776300</v>
      </c>
      <c r="E45" s="40" t="n">
        <v>-2851300</v>
      </c>
      <c r="F45" s="41" t="inlineStr">
        <is>
          <t>Deficit</t>
        </is>
      </c>
    </row>
    <row r="46">
      <c r="A46" s="13" t="inlineStr">
        <is>
          <t>M10</t>
        </is>
      </c>
      <c r="B46" s="12" t="n">
        <v>1435000</v>
      </c>
      <c r="C46" s="12" t="n">
        <v>3682800</v>
      </c>
      <c r="D46" s="12" t="n">
        <v>3807500</v>
      </c>
      <c r="E46" s="40" t="n">
        <v>-2372500</v>
      </c>
      <c r="F46" s="41" t="inlineStr">
        <is>
          <t>Deficit</t>
        </is>
      </c>
    </row>
    <row r="47">
      <c r="A47" s="13" t="inlineStr">
        <is>
          <t>M11</t>
        </is>
      </c>
      <c r="B47" s="12" t="n">
        <v>2085000</v>
      </c>
      <c r="C47" s="12" t="n">
        <v>3682800</v>
      </c>
      <c r="D47" s="12" t="n">
        <v>3847500</v>
      </c>
      <c r="E47" s="40" t="n">
        <v>-1762500</v>
      </c>
      <c r="F47" s="41" t="inlineStr">
        <is>
          <t>Deficit</t>
        </is>
      </c>
    </row>
    <row r="48">
      <c r="A48" s="13" t="inlineStr">
        <is>
          <t>M12</t>
        </is>
      </c>
      <c r="B48" s="12" t="n">
        <v>12850000</v>
      </c>
      <c r="C48" s="12" t="n">
        <v>3682800</v>
      </c>
      <c r="D48" s="12" t="n">
        <v>3913800</v>
      </c>
      <c r="E48" s="42" t="n">
        <v>8936200</v>
      </c>
      <c r="F48" s="43" t="inlineStr">
        <is>
          <t>Break-even</t>
        </is>
      </c>
    </row>
    <row r="49">
      <c r="A49" s="13" t="inlineStr">
        <is>
          <t>M13</t>
        </is>
      </c>
      <c r="B49" s="12" t="n">
        <v>3875000</v>
      </c>
      <c r="C49" s="12" t="n">
        <v>3682800</v>
      </c>
      <c r="D49" s="12" t="n">
        <v>3967300</v>
      </c>
      <c r="E49" s="40" t="n">
        <v>-92300</v>
      </c>
      <c r="F49" s="41" t="inlineStr">
        <is>
          <t>Deficit</t>
        </is>
      </c>
    </row>
    <row r="50">
      <c r="A50" s="13" t="inlineStr">
        <is>
          <t>M14</t>
        </is>
      </c>
      <c r="B50" s="12" t="n">
        <v>4575000</v>
      </c>
      <c r="C50" s="12" t="n">
        <v>3682800</v>
      </c>
      <c r="D50" s="12" t="n">
        <v>4014300</v>
      </c>
      <c r="E50" s="42" t="n">
        <v>560700</v>
      </c>
      <c r="F50" s="43" t="inlineStr">
        <is>
          <t>Break-even</t>
        </is>
      </c>
    </row>
    <row r="51">
      <c r="A51" s="13" t="inlineStr">
        <is>
          <t>M15</t>
        </is>
      </c>
      <c r="B51" s="12" t="n">
        <v>5625000</v>
      </c>
      <c r="C51" s="12" t="n">
        <v>3682800</v>
      </c>
      <c r="D51" s="12" t="n">
        <v>4068300</v>
      </c>
      <c r="E51" s="42" t="n">
        <v>1556700</v>
      </c>
      <c r="F51" s="43" t="inlineStr">
        <is>
          <t>Break-even</t>
        </is>
      </c>
    </row>
    <row r="52">
      <c r="A52" s="13" t="inlineStr">
        <is>
          <t>M16</t>
        </is>
      </c>
      <c r="B52" s="12" t="n">
        <v>6250000</v>
      </c>
      <c r="C52" s="12" t="n">
        <v>3682800</v>
      </c>
      <c r="D52" s="12" t="n">
        <v>4113800</v>
      </c>
      <c r="E52" s="42" t="n">
        <v>2136200</v>
      </c>
      <c r="F52" s="43" t="inlineStr">
        <is>
          <t>Break-even</t>
        </is>
      </c>
    </row>
    <row r="53">
      <c r="A53" s="13" t="inlineStr">
        <is>
          <t>M17</t>
        </is>
      </c>
      <c r="B53" s="12" t="n">
        <v>6875000</v>
      </c>
      <c r="C53" s="12" t="n">
        <v>3682800</v>
      </c>
      <c r="D53" s="12" t="n">
        <v>4159300</v>
      </c>
      <c r="E53" s="42" t="n">
        <v>2715700</v>
      </c>
      <c r="F53" s="43" t="inlineStr">
        <is>
          <t>Break-even</t>
        </is>
      </c>
    </row>
    <row r="54">
      <c r="A54" s="13" t="inlineStr">
        <is>
          <t>M18</t>
        </is>
      </c>
      <c r="B54" s="12" t="n">
        <v>22500000</v>
      </c>
      <c r="C54" s="12" t="n">
        <v>3682800</v>
      </c>
      <c r="D54" s="12" t="n">
        <v>4204800</v>
      </c>
      <c r="E54" s="42" t="n">
        <v>18295200</v>
      </c>
      <c r="F54" s="43" t="inlineStr">
        <is>
          <t>Break-even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</cols>
  <sheetData>
    <row r="1" ht="24" customHeight="1">
      <c r="A1" s="1" t="inlineStr">
        <is>
          <t>EXAMBOOST TOGO - GRAPHIQUES</t>
        </is>
      </c>
    </row>
    <row r="3">
      <c r="A3" s="2" t="inlineStr">
        <is>
          <t>Quatre graphiques pour visualiser la sante financiere sur 18 mois.</t>
        </is>
      </c>
    </row>
    <row r="5">
      <c r="A5" s="44" t="inlineStr">
        <is>
          <t>1. Revenus mensuels (18 mois) - scenario realiste</t>
        </is>
      </c>
    </row>
    <row r="27">
      <c r="A27" s="44" t="inlineStr">
        <is>
          <t>2. Cash balance cumule (18 mois)</t>
        </is>
      </c>
    </row>
    <row r="49">
      <c r="A49" s="44" t="inlineStr">
        <is>
          <t>3. Repartition revenus M18 par source</t>
        </is>
      </c>
    </row>
    <row r="51">
      <c r="A51" s="3" t="inlineStr">
        <is>
          <t>Source</t>
        </is>
      </c>
      <c r="B51" s="3" t="inlineStr">
        <is>
          <t>Revenus M18 (FCFA)</t>
        </is>
      </c>
    </row>
    <row r="52">
      <c r="A52" s="13" t="inlineStr">
        <is>
          <t>Ecoles (mix 30/60/10)</t>
        </is>
      </c>
      <c r="B52" s="32" t="n">
        <v>2500000</v>
      </c>
    </row>
    <row r="53">
      <c r="A53" s="13" t="inlineStr">
        <is>
          <t>Premium eleves</t>
        </is>
      </c>
      <c r="B53" s="32" t="n">
        <v>5000000</v>
      </c>
    </row>
    <row r="54">
      <c r="A54" s="13" t="inlineStr">
        <is>
          <t>Subventions / grants</t>
        </is>
      </c>
      <c r="B54" s="32" t="n">
        <v>15000000</v>
      </c>
    </row>
    <row r="70">
      <c r="A70" s="44" t="inlineStr">
        <is>
          <t>4. Couts par categorie (18 mois)</t>
        </is>
      </c>
    </row>
    <row r="72">
      <c r="A72" s="3" t="inlineStr">
        <is>
          <t>Mois</t>
        </is>
      </c>
      <c r="B72" s="3" t="inlineStr">
        <is>
          <t>Salaires</t>
        </is>
      </c>
      <c r="C72" s="3" t="inlineStr">
        <is>
          <t>Cloud</t>
        </is>
      </c>
      <c r="D72" s="3" t="inlineStr">
        <is>
          <t>Marketing</t>
        </is>
      </c>
      <c r="E72" s="3" t="inlineStr">
        <is>
          <t>Legal</t>
        </is>
      </c>
      <c r="F72" s="3" t="inlineStr">
        <is>
          <t>Couts variables</t>
        </is>
      </c>
    </row>
    <row r="73">
      <c r="A73" s="13" t="inlineStr">
        <is>
          <t>M1</t>
        </is>
      </c>
      <c r="B73" s="12" t="n">
        <v>1008000</v>
      </c>
      <c r="C73" s="12" t="n">
        <v>30000</v>
      </c>
      <c r="D73" s="12" t="n">
        <v>120000</v>
      </c>
      <c r="E73" s="12" t="n">
        <v>60000</v>
      </c>
      <c r="F73" s="12" t="n">
        <v>21550</v>
      </c>
    </row>
    <row r="74">
      <c r="A74" s="13" t="inlineStr">
        <is>
          <t>M2</t>
        </is>
      </c>
      <c r="B74" s="12" t="n">
        <v>1545600</v>
      </c>
      <c r="C74" s="12" t="n">
        <v>30000</v>
      </c>
      <c r="D74" s="12" t="n">
        <v>120000</v>
      </c>
      <c r="E74" s="12" t="n">
        <v>60000</v>
      </c>
      <c r="F74" s="12" t="n">
        <v>25350</v>
      </c>
    </row>
    <row r="75">
      <c r="A75" s="13" t="inlineStr">
        <is>
          <t>M3</t>
        </is>
      </c>
      <c r="B75" s="12" t="n">
        <v>1545600</v>
      </c>
      <c r="C75" s="12" t="n">
        <v>30000</v>
      </c>
      <c r="D75" s="12" t="n">
        <v>120000</v>
      </c>
      <c r="E75" s="12" t="n">
        <v>60000</v>
      </c>
      <c r="F75" s="12" t="n">
        <v>30050</v>
      </c>
    </row>
    <row r="76">
      <c r="A76" s="13" t="inlineStr">
        <is>
          <t>M4</t>
        </is>
      </c>
      <c r="B76" s="12" t="n">
        <v>2217600</v>
      </c>
      <c r="C76" s="12" t="n">
        <v>30000</v>
      </c>
      <c r="D76" s="12" t="n">
        <v>300000</v>
      </c>
      <c r="E76" s="12" t="n">
        <v>60000</v>
      </c>
      <c r="F76" s="12" t="n">
        <v>35100</v>
      </c>
    </row>
    <row r="77">
      <c r="A77" s="13" t="inlineStr">
        <is>
          <t>M5</t>
        </is>
      </c>
      <c r="B77" s="12" t="n">
        <v>2217600</v>
      </c>
      <c r="C77" s="12" t="n">
        <v>30000</v>
      </c>
      <c r="D77" s="12" t="n">
        <v>300000</v>
      </c>
      <c r="E77" s="12" t="n">
        <v>60000</v>
      </c>
      <c r="F77" s="12" t="n">
        <v>41870</v>
      </c>
    </row>
    <row r="78">
      <c r="A78" s="13" t="inlineStr">
        <is>
          <t>M6</t>
        </is>
      </c>
      <c r="B78" s="12" t="n">
        <v>2217600</v>
      </c>
      <c r="C78" s="12" t="n">
        <v>30000</v>
      </c>
      <c r="D78" s="12" t="n">
        <v>300000</v>
      </c>
      <c r="E78" s="12" t="n">
        <v>60000</v>
      </c>
      <c r="F78" s="12" t="n">
        <v>47800</v>
      </c>
    </row>
    <row r="79">
      <c r="A79" s="13" t="inlineStr">
        <is>
          <t>M7</t>
        </is>
      </c>
      <c r="B79" s="12" t="n">
        <v>2217600</v>
      </c>
      <c r="C79" s="12" t="n">
        <v>30000</v>
      </c>
      <c r="D79" s="12" t="n">
        <v>300000</v>
      </c>
      <c r="E79" s="12" t="n">
        <v>60000</v>
      </c>
      <c r="F79" s="12" t="n">
        <v>60100</v>
      </c>
    </row>
    <row r="80">
      <c r="A80" s="13" t="inlineStr">
        <is>
          <t>M8</t>
        </is>
      </c>
      <c r="B80" s="12" t="n">
        <v>2217600</v>
      </c>
      <c r="C80" s="12" t="n">
        <v>30000</v>
      </c>
      <c r="D80" s="12" t="n">
        <v>300000</v>
      </c>
      <c r="E80" s="12" t="n">
        <v>60000</v>
      </c>
      <c r="F80" s="12" t="n">
        <v>76500</v>
      </c>
    </row>
    <row r="81">
      <c r="A81" s="13" t="inlineStr">
        <is>
          <t>M9</t>
        </is>
      </c>
      <c r="B81" s="12" t="n">
        <v>3292800</v>
      </c>
      <c r="C81" s="12" t="n">
        <v>30000</v>
      </c>
      <c r="D81" s="12" t="n">
        <v>300000</v>
      </c>
      <c r="E81" s="12" t="n">
        <v>60000</v>
      </c>
      <c r="F81" s="12" t="n">
        <v>93500</v>
      </c>
    </row>
    <row r="82">
      <c r="A82" s="13" t="inlineStr">
        <is>
          <t>M10</t>
        </is>
      </c>
      <c r="B82" s="12" t="n">
        <v>3292800</v>
      </c>
      <c r="C82" s="12" t="n">
        <v>30000</v>
      </c>
      <c r="D82" s="12" t="n">
        <v>300000</v>
      </c>
      <c r="E82" s="12" t="n">
        <v>60000</v>
      </c>
      <c r="F82" s="12" t="n">
        <v>124700</v>
      </c>
    </row>
    <row r="83">
      <c r="A83" s="13" t="inlineStr">
        <is>
          <t>M11</t>
        </is>
      </c>
      <c r="B83" s="12" t="n">
        <v>3292800</v>
      </c>
      <c r="C83" s="12" t="n">
        <v>30000</v>
      </c>
      <c r="D83" s="12" t="n">
        <v>300000</v>
      </c>
      <c r="E83" s="12" t="n">
        <v>60000</v>
      </c>
      <c r="F83" s="12" t="n">
        <v>164700</v>
      </c>
    </row>
    <row r="84">
      <c r="A84" s="13" t="inlineStr">
        <is>
          <t>M12</t>
        </is>
      </c>
      <c r="B84" s="12" t="n">
        <v>3292800</v>
      </c>
      <c r="C84" s="12" t="n">
        <v>30000</v>
      </c>
      <c r="D84" s="12" t="n">
        <v>300000</v>
      </c>
      <c r="E84" s="12" t="n">
        <v>60000</v>
      </c>
      <c r="F84" s="12" t="n">
        <v>231000</v>
      </c>
    </row>
    <row r="85">
      <c r="A85" s="13" t="inlineStr">
        <is>
          <t>M13</t>
        </is>
      </c>
      <c r="B85" s="12" t="n">
        <v>3292800</v>
      </c>
      <c r="C85" s="12" t="n">
        <v>30000</v>
      </c>
      <c r="D85" s="12" t="n">
        <v>300000</v>
      </c>
      <c r="E85" s="12" t="n">
        <v>60000</v>
      </c>
      <c r="F85" s="12" t="n">
        <v>284500</v>
      </c>
    </row>
    <row r="86">
      <c r="A86" s="13" t="inlineStr">
        <is>
          <t>M14</t>
        </is>
      </c>
      <c r="B86" s="12" t="n">
        <v>3292800</v>
      </c>
      <c r="C86" s="12" t="n">
        <v>30000</v>
      </c>
      <c r="D86" s="12" t="n">
        <v>300000</v>
      </c>
      <c r="E86" s="12" t="n">
        <v>60000</v>
      </c>
      <c r="F86" s="12" t="n">
        <v>331500</v>
      </c>
    </row>
    <row r="87">
      <c r="A87" s="13" t="inlineStr">
        <is>
          <t>M15</t>
        </is>
      </c>
      <c r="B87" s="12" t="n">
        <v>3292800</v>
      </c>
      <c r="C87" s="12" t="n">
        <v>30000</v>
      </c>
      <c r="D87" s="12" t="n">
        <v>300000</v>
      </c>
      <c r="E87" s="12" t="n">
        <v>60000</v>
      </c>
      <c r="F87" s="12" t="n">
        <v>385500</v>
      </c>
    </row>
    <row r="88">
      <c r="A88" s="13" t="inlineStr">
        <is>
          <t>M16</t>
        </is>
      </c>
      <c r="B88" s="12" t="n">
        <v>3292800</v>
      </c>
      <c r="C88" s="12" t="n">
        <v>30000</v>
      </c>
      <c r="D88" s="12" t="n">
        <v>300000</v>
      </c>
      <c r="E88" s="12" t="n">
        <v>60000</v>
      </c>
      <c r="F88" s="12" t="n">
        <v>431000</v>
      </c>
    </row>
    <row r="89">
      <c r="A89" s="13" t="inlineStr">
        <is>
          <t>M17</t>
        </is>
      </c>
      <c r="B89" s="12" t="n">
        <v>3292800</v>
      </c>
      <c r="C89" s="12" t="n">
        <v>30000</v>
      </c>
      <c r="D89" s="12" t="n">
        <v>300000</v>
      </c>
      <c r="E89" s="12" t="n">
        <v>60000</v>
      </c>
      <c r="F89" s="12" t="n">
        <v>476500</v>
      </c>
    </row>
    <row r="90">
      <c r="A90" s="13" t="inlineStr">
        <is>
          <t>M18</t>
        </is>
      </c>
      <c r="B90" s="12" t="n">
        <v>3292800</v>
      </c>
      <c r="C90" s="12" t="n">
        <v>30000</v>
      </c>
      <c r="D90" s="12" t="n">
        <v>300000</v>
      </c>
      <c r="E90" s="12" t="n">
        <v>60000</v>
      </c>
      <c r="F90" s="12" t="n">
        <v>522000</v>
      </c>
    </row>
    <row r="120">
      <c r="A120" s="17" t="inlineStr">
        <is>
          <t>Notes de lecture :</t>
        </is>
      </c>
    </row>
    <row r="121">
      <c r="A121" s="2" t="inlineStr">
        <is>
          <t>1. Bar chart revenus : la pente s'accelere a partir de M9 (phase expansion).</t>
        </is>
      </c>
    </row>
    <row r="122">
      <c r="A122" s="2" t="inlineStr">
        <is>
          <t>2. Cash balance : le point bas est atteint autour de M9-M11, puis remontee avec subventions M6/M12/M18.</t>
        </is>
      </c>
    </row>
    <row r="123">
      <c r="A123" s="2" t="inlineStr">
        <is>
          <t>3. Pie chart M18 : les premium eleves representent la majorite des revenus (~80 %).</t>
        </is>
      </c>
    </row>
    <row r="124">
      <c r="A124" s="2" t="inlineStr">
        <is>
          <t>4. Stacked couts : les salaires representent ~85 % des couts fixes ; les couts variables restent marginaux.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2026-07-01T10:38:08Z</dcterms:created>
  <dcterms:modified xmlns:dcterms="http://purl.org/dc/terms/" xmlns:xsi="http://www.w3.org/2001/XMLSchema-instance" xsi:type="dcterms:W3CDTF">2026-07-01T10:38:08Z</dcterms:modified>
</cp:coreProperties>
</file>